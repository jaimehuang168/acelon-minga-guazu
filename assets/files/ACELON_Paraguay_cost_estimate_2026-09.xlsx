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摘要" sheetId="1" state="visible" r:id="rId3"/>
    <sheet name="假設與單價" sheetId="2" state="visible" r:id="rId4"/>
    <sheet name="數量計算-原絲廠房" sheetId="3" state="visible" r:id="rId5"/>
    <sheet name="原絲廠房" sheetId="4" state="visible" r:id="rId6"/>
    <sheet name="假撚廠房" sheetId="5" state="visible" r:id="rId7"/>
    <sheet name="公用廠房" sheetId="6" state="visible" r:id="rId8"/>
    <sheet name="基地工程" sheetId="7" state="visible" r:id="rId9"/>
    <sheet name="風險與待確認" sheetId="8" state="visible" r:id="rId10"/>
    <sheet name="資料來源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<sst xmlns="http://schemas.openxmlformats.org/spreadsheetml/2006/main" count="981" uniqueCount="650">
  <si>
    <r>
      <rPr>
        <b val="true"/>
        <sz val="14"/>
        <color rgb="FF000000"/>
        <rFont val="Arial"/>
        <family val="0"/>
        <charset val="1"/>
      </rPr>
      <t xml:space="preserve">ACELON Minga Guazú </t>
    </r>
    <r>
      <rPr>
        <b val="true"/>
        <sz val="14"/>
        <color rgb="FF000000"/>
        <rFont val="Noto Sans CJK SC"/>
        <family val="2"/>
      </rPr>
      <t xml:space="preserve">新廠 — 巴拉圭總建造成本估算（</t>
    </r>
    <r>
      <rPr>
        <b val="true"/>
        <sz val="14"/>
        <color rgb="FF000000"/>
        <rFont val="Arial"/>
        <family val="0"/>
        <charset val="1"/>
      </rPr>
      <t xml:space="preserve">AACE Class 3</t>
    </r>
    <r>
      <rPr>
        <b val="true"/>
        <sz val="14"/>
        <color rgb="FF000000"/>
        <rFont val="Noto Sans CJK SC"/>
        <family val="2"/>
      </rPr>
      <t xml:space="preserve">，</t>
    </r>
    <r>
      <rPr>
        <b val="true"/>
        <sz val="14"/>
        <color rgb="FF000000"/>
        <rFont val="Arial"/>
        <family val="0"/>
        <charset val="1"/>
      </rPr>
      <t xml:space="preserve">±15–25%</t>
    </r>
    <r>
      <rPr>
        <b val="true"/>
        <sz val="14"/>
        <color rgb="FF000000"/>
        <rFont val="Noto Sans CJK SC"/>
        <family val="2"/>
      </rPr>
      <t xml:space="preserve">）</t>
    </r>
  </si>
  <si>
    <r>
      <rPr>
        <i val="true"/>
        <sz val="10"/>
        <color rgb="FF5B6068"/>
        <rFont val="Noto Sans CJK SC"/>
        <family val="2"/>
      </rPr>
      <t xml:space="preserve">估算日期 </t>
    </r>
    <r>
      <rPr>
        <i val="true"/>
        <sz val="10"/>
        <color rgb="FF5B6068"/>
        <rFont val="Arial"/>
        <family val="0"/>
        <charset val="1"/>
      </rPr>
      <t xml:space="preserve">2026‑09‑16 · </t>
    </r>
    <r>
      <rPr>
        <i val="true"/>
        <sz val="10"/>
        <color rgb="FF5B6068"/>
        <rFont val="Noto Sans CJK SC"/>
        <family val="2"/>
      </rPr>
      <t xml:space="preserve">幣別 </t>
    </r>
    <r>
      <rPr>
        <i val="true"/>
        <sz val="10"/>
        <color rgb="FF5B6068"/>
        <rFont val="Arial"/>
        <family val="0"/>
        <charset val="1"/>
      </rPr>
      <t xml:space="preserve">USD · </t>
    </r>
    <r>
      <rPr>
        <i val="true"/>
        <sz val="10"/>
        <color rgb="FF5B6068"/>
        <rFont val="Noto Sans CJK SC"/>
        <family val="2"/>
      </rPr>
      <t xml:space="preserve">匯率 ₲</t>
    </r>
    <r>
      <rPr>
        <i val="true"/>
        <sz val="10"/>
        <color rgb="FF5B6068"/>
        <rFont val="Arial"/>
        <family val="0"/>
        <charset val="1"/>
      </rPr>
      <t xml:space="preserve">5,934.88/USD</t>
    </r>
    <r>
      <rPr>
        <i val="true"/>
        <sz val="10"/>
        <color rgb="FF5B6068"/>
        <rFont val="Noto Sans CJK SC"/>
        <family val="2"/>
      </rPr>
      <t xml:space="preserve">（</t>
    </r>
    <r>
      <rPr>
        <i val="true"/>
        <sz val="10"/>
        <color rgb="FF5B6068"/>
        <rFont val="Arial"/>
        <family val="0"/>
        <charset val="1"/>
      </rPr>
      <t xml:space="preserve">BCP</t>
    </r>
    <r>
      <rPr>
        <i val="true"/>
        <sz val="10"/>
        <color rgb="FF5B6068"/>
        <rFont val="Noto Sans CJK SC"/>
        <family val="2"/>
      </rPr>
      <t xml:space="preserve">）</t>
    </r>
    <r>
      <rPr>
        <i val="true"/>
        <sz val="10"/>
        <color rgb="FF5B6068"/>
        <rFont val="Arial"/>
        <family val="0"/>
        <charset val="1"/>
      </rPr>
      <t xml:space="preserve">· </t>
    </r>
    <r>
      <rPr>
        <i val="true"/>
        <sz val="10"/>
        <color rgb="FF5B6068"/>
        <rFont val="Noto Sans CJK SC"/>
        <family val="2"/>
      </rPr>
      <t xml:space="preserve">範圍：三棟廠房土建、外殼、裝修、建築機電、公用設備土建整合、基地工程；不含製程設備、製程管線與製程空調、土地租金</t>
    </r>
  </si>
  <si>
    <t xml:space="preserve">項次</t>
  </si>
  <si>
    <t xml:space="preserve">項目</t>
  </si>
  <si>
    <r>
      <rPr>
        <b val="true"/>
        <sz val="10"/>
        <color rgb="FFFFFFFF"/>
        <rFont val="Noto Sans CJK SC"/>
        <family val="2"/>
      </rPr>
      <t xml:space="preserve">金額 </t>
    </r>
    <r>
      <rPr>
        <b val="true"/>
        <sz val="10"/>
        <color rgb="FFFFFFFF"/>
        <rFont val="Arial"/>
        <family val="0"/>
        <charset val="1"/>
      </rPr>
      <t xml:space="preserve">(USD)</t>
    </r>
  </si>
  <si>
    <t xml:space="preserve">USD/m²</t>
  </si>
  <si>
    <r>
      <rPr>
        <b val="true"/>
        <sz val="10"/>
        <color rgb="FFFFFFFF"/>
        <rFont val="Noto Sans CJK SC"/>
        <family val="2"/>
      </rPr>
      <t xml:space="preserve">金額 </t>
    </r>
    <r>
      <rPr>
        <b val="true"/>
        <sz val="10"/>
        <color rgb="FFFFFFFF"/>
        <rFont val="Arial"/>
        <family val="0"/>
        <charset val="1"/>
      </rPr>
      <t xml:space="preserve">(₲ </t>
    </r>
    <r>
      <rPr>
        <b val="true"/>
        <sz val="10"/>
        <color rgb="FFFFFFFF"/>
        <rFont val="Noto Sans CJK SC"/>
        <family val="2"/>
      </rPr>
      <t xml:space="preserve">百萬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</si>
  <si>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說明</t>
  </si>
  <si>
    <t xml:space="preserve">A</t>
  </si>
  <si>
    <r>
      <rPr>
        <sz val="10"/>
        <color rgb="FF000000"/>
        <rFont val="Noto Sans CJK SC"/>
        <family val="2"/>
      </rPr>
      <t xml:space="preserve">原絲廠房 </t>
    </r>
    <r>
      <rPr>
        <sz val="10"/>
        <color rgb="FF000000"/>
        <rFont val="Arial"/>
        <family val="0"/>
        <charset val="1"/>
      </rPr>
      <t xml:space="preserve">Nave N </t>
    </r>
    <r>
      <rPr>
        <sz val="10"/>
        <color rgb="FF000000"/>
        <rFont val="Noto Sans CJK SC"/>
        <family val="2"/>
      </rPr>
      <t xml:space="preserve">直接成本（</t>
    </r>
    <r>
      <rPr>
        <sz val="10"/>
        <color rgb="FF000000"/>
        <rFont val="Arial"/>
        <family val="0"/>
        <charset val="1"/>
      </rPr>
      <t xml:space="preserve">RC 4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+ 1.5F + </t>
    </r>
    <r>
      <rPr>
        <sz val="10"/>
        <color rgb="FF000000"/>
        <rFont val="Noto Sans CJK SC"/>
        <family val="2"/>
      </rPr>
      <t xml:space="preserve">地下風道，</t>
    </r>
    <r>
      <rPr>
        <sz val="10"/>
        <color rgb="FF000000"/>
        <rFont val="Arial"/>
        <family val="0"/>
        <charset val="1"/>
      </rPr>
      <t xml:space="preserve">9,040 m²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</si>
  <si>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Noto Sans CJK SC"/>
        <family val="2"/>
      </rPr>
      <t xml:space="preserve">詳「原絲廠房」表；數量由 </t>
    </r>
    <r>
      <rPr>
        <sz val="9"/>
        <color rgb="FF5B6068"/>
        <rFont val="Arial"/>
        <family val="0"/>
        <charset val="1"/>
      </rPr>
      <t xml:space="preserve">S&amp;W IFC </t>
    </r>
    <r>
      <rPr>
        <sz val="9"/>
        <color rgb="FF5B6068"/>
        <rFont val="Noto Sans CJK SC"/>
        <family val="2"/>
      </rPr>
      <t xml:space="preserve">量得</t>
    </r>
  </si>
  <si>
    <t xml:space="preserve">B</t>
  </si>
  <si>
    <r>
      <rPr>
        <sz val="10"/>
        <color rgb="FF000000"/>
        <rFont val="Noto Sans CJK SC"/>
        <family val="2"/>
      </rPr>
      <t xml:space="preserve">假撚廠房 </t>
    </r>
    <r>
      <rPr>
        <sz val="10"/>
        <color rgb="FF000000"/>
        <rFont val="Arial"/>
        <family val="0"/>
        <charset val="1"/>
      </rPr>
      <t xml:space="preserve">DTY </t>
    </r>
    <r>
      <rPr>
        <sz val="10"/>
        <color rgb="FF000000"/>
        <rFont val="Noto Sans CJK SC"/>
        <family val="2"/>
      </rPr>
      <t xml:space="preserve">直接成本（鋼構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4,700 m²</t>
    </r>
    <r>
      <rPr>
        <sz val="10"/>
        <color rgb="FF000000"/>
        <rFont val="Noto Sans CJK SC"/>
        <family val="2"/>
      </rPr>
      <t xml:space="preserve">）</t>
    </r>
  </si>
  <si>
    <t xml:space="preserve">詳「假撚廠房」表</t>
  </si>
  <si>
    <t xml:space="preserve">C</t>
  </si>
  <si>
    <r>
      <rPr>
        <sz val="10"/>
        <color rgb="FF000000"/>
        <rFont val="Noto Sans CJK SC"/>
        <family val="2"/>
      </rPr>
      <t xml:space="preserve">公用廠房與公用設備土建整合直接成本（</t>
    </r>
    <r>
      <rPr>
        <sz val="10"/>
        <color rgb="FF000000"/>
        <rFont val="Arial"/>
        <family val="0"/>
        <charset val="1"/>
      </rPr>
      <t xml:space="preserve">1,600 m²</t>
    </r>
    <r>
      <rPr>
        <sz val="10"/>
        <color rgb="FF000000"/>
        <rFont val="Noto Sans CJK SC"/>
        <family val="2"/>
      </rPr>
      <t xml:space="preserve">）</t>
    </r>
  </si>
  <si>
    <t xml:space="preserve">詳「公用廠房」表</t>
  </si>
  <si>
    <t xml:space="preserve">D</t>
  </si>
  <si>
    <r>
      <rPr>
        <sz val="10"/>
        <color rgb="FF000000"/>
        <rFont val="Noto Sans CJK SC"/>
        <family val="2"/>
      </rPr>
      <t xml:space="preserve">基地工程直接成本（</t>
    </r>
    <r>
      <rPr>
        <sz val="10"/>
        <color rgb="FF000000"/>
        <rFont val="Arial"/>
        <family val="0"/>
        <charset val="1"/>
      </rPr>
      <t xml:space="preserve">158 × 106 m</t>
    </r>
    <r>
      <rPr>
        <sz val="10"/>
        <color rgb="FF000000"/>
        <rFont val="Noto Sans CJK SC"/>
        <family val="2"/>
      </rPr>
      <t xml:space="preserve">）</t>
    </r>
  </si>
  <si>
    <t xml:space="preserve">詳「基地工程」表</t>
  </si>
  <si>
    <r>
      <rPr>
        <b val="true"/>
        <sz val="10"/>
        <color rgb="FF000000"/>
        <rFont val="Noto Sans CJK SC"/>
        <family val="2"/>
      </rPr>
      <t xml:space="preserve">直接成本小計 </t>
    </r>
    <r>
      <rPr>
        <b val="true"/>
        <sz val="10"/>
        <color rgb="FF000000"/>
        <rFont val="Arial"/>
        <family val="0"/>
        <charset val="1"/>
      </rPr>
      <t xml:space="preserve">(A+B+C+D)</t>
    </r>
  </si>
  <si>
    <r>
      <rPr>
        <sz val="9"/>
        <color rgb="FF5B6068"/>
        <rFont val="Arial"/>
        <family val="0"/>
        <charset val="1"/>
      </rPr>
      <t xml:space="preserve">USD/m² </t>
    </r>
    <r>
      <rPr>
        <sz val="9"/>
        <color rgb="FF5B6068"/>
        <rFont val="Noto Sans CJK SC"/>
        <family val="2"/>
      </rPr>
      <t xml:space="preserve">以三棟 </t>
    </r>
    <r>
      <rPr>
        <sz val="9"/>
        <color rgb="FF5B6068"/>
        <rFont val="Arial"/>
        <family val="0"/>
        <charset val="1"/>
      </rPr>
      <t xml:space="preserve">GFA 15,340 m² </t>
    </r>
    <r>
      <rPr>
        <sz val="9"/>
        <color rgb="FF5B6068"/>
        <rFont val="Noto Sans CJK SC"/>
        <family val="2"/>
      </rPr>
      <t xml:space="preserve">計</t>
    </r>
  </si>
  <si>
    <t xml:space="preserve">E</t>
  </si>
  <si>
    <t xml:space="preserve">承包商管理費與利潤</t>
  </si>
  <si>
    <r>
      <rPr>
        <sz val="9"/>
        <color rgb="FF5B6068"/>
        <rFont val="Arial"/>
        <family val="0"/>
        <charset val="1"/>
      </rPr>
      <t xml:space="preserve">OHP 14%</t>
    </r>
    <r>
      <rPr>
        <sz val="9"/>
        <color rgb="FF5B6068"/>
        <rFont val="Noto Sans CJK SC"/>
        <family val="2"/>
      </rPr>
      <t xml:space="preserve">（</t>
    </r>
    <r>
      <rPr>
        <sz val="9"/>
        <color rgb="FF5B6068"/>
        <rFont val="Arial"/>
        <family val="0"/>
        <charset val="1"/>
      </rPr>
      <t xml:space="preserve">CYPE </t>
    </r>
    <r>
      <rPr>
        <sz val="9"/>
        <color rgb="FF5B6068"/>
        <rFont val="Noto Sans CJK SC"/>
        <family val="2"/>
      </rPr>
      <t xml:space="preserve">單價為直接成本）</t>
    </r>
  </si>
  <si>
    <t xml:space="preserve">F</t>
  </si>
  <si>
    <t xml:space="preserve">地質鑽探與土壤試驗</t>
  </si>
  <si>
    <t xml:space="preserve">RFI 27</t>
  </si>
  <si>
    <t xml:space="preserve">G</t>
  </si>
  <si>
    <r>
      <rPr>
        <sz val="10"/>
        <color rgb="FF000000"/>
        <rFont val="Noto Sans CJK SC"/>
        <family val="2"/>
      </rPr>
      <t xml:space="preserve">設計費（執行設計＋</t>
    </r>
    <r>
      <rPr>
        <sz val="10"/>
        <color rgb="FF000000"/>
        <rFont val="Arial"/>
        <family val="0"/>
        <charset val="1"/>
      </rPr>
      <t xml:space="preserve">BIM</t>
    </r>
    <r>
      <rPr>
        <sz val="10"/>
        <color rgb="FF000000"/>
        <rFont val="Noto Sans CJK SC"/>
        <family val="2"/>
      </rPr>
      <t xml:space="preserve">＋結構＋機電）</t>
    </r>
  </si>
  <si>
    <t xml:space="preserve">4.5%</t>
  </si>
  <si>
    <t xml:space="preserve">H</t>
  </si>
  <si>
    <t xml:space="preserve">監造／專案管理</t>
  </si>
  <si>
    <t xml:space="preserve">3%</t>
  </si>
  <si>
    <t xml:space="preserve">I</t>
  </si>
  <si>
    <t xml:space="preserve">建照、市府規費、環評、消防審查</t>
  </si>
  <si>
    <t xml:space="preserve">1.2%</t>
  </si>
  <si>
    <t xml:space="preserve">J</t>
  </si>
  <si>
    <r>
      <rPr>
        <sz val="10"/>
        <color rgb="FF000000"/>
        <rFont val="Noto Sans CJK SC"/>
        <family val="2"/>
      </rPr>
      <t xml:space="preserve">工程保險（</t>
    </r>
    <r>
      <rPr>
        <sz val="10"/>
        <color rgb="FF000000"/>
        <rFont val="Arial"/>
        <family val="0"/>
        <charset val="1"/>
      </rPr>
      <t xml:space="preserve">CAR</t>
    </r>
    <r>
      <rPr>
        <sz val="10"/>
        <color rgb="FF000000"/>
        <rFont val="Noto Sans CJK SC"/>
        <family val="2"/>
      </rPr>
      <t xml:space="preserve">）</t>
    </r>
  </si>
  <si>
    <t xml:space="preserve">0.8%</t>
  </si>
  <si>
    <t xml:space="preserve">工程費用（不含預備費與稅）</t>
  </si>
  <si>
    <t xml:space="preserve">K</t>
  </si>
  <si>
    <t xml:space="preserve">工程預備費（設計深度、地質、設備荷重等未定項）</t>
  </si>
  <si>
    <t xml:space="preserve">10%</t>
  </si>
  <si>
    <t xml:space="preserve">總建造成本（未稅）</t>
  </si>
  <si>
    <t xml:space="preserve">L</t>
  </si>
  <si>
    <r>
      <rPr>
        <sz val="10"/>
        <color rgb="FF000000"/>
        <rFont val="Arial"/>
        <family val="0"/>
        <charset val="1"/>
      </rPr>
      <t xml:space="preserve">IVA 10%</t>
    </r>
    <r>
      <rPr>
        <sz val="10"/>
        <color rgb="FF000000"/>
        <rFont val="Noto Sans CJK SC"/>
        <family val="2"/>
      </rPr>
      <t xml:space="preserve">（營建材料與勞務；進口設備若適用 </t>
    </r>
    <r>
      <rPr>
        <sz val="10"/>
        <color rgb="FF000000"/>
        <rFont val="Arial"/>
        <family val="0"/>
        <charset val="1"/>
      </rPr>
      <t xml:space="preserve">Maquila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Ley 60/90 </t>
    </r>
    <r>
      <rPr>
        <sz val="10"/>
        <color rgb="FF000000"/>
        <rFont val="Noto Sans CJK SC"/>
        <family val="2"/>
      </rPr>
      <t xml:space="preserve">可免）</t>
    </r>
  </si>
  <si>
    <r>
      <rPr>
        <b val="true"/>
        <sz val="12"/>
        <color rgb="FF000000"/>
        <rFont val="Noto Sans CJK SC"/>
        <family val="2"/>
      </rPr>
      <t xml:space="preserve">總建造成本（含 </t>
    </r>
    <r>
      <rPr>
        <b val="true"/>
        <sz val="12"/>
        <color rgb="FF000000"/>
        <rFont val="Arial"/>
        <family val="0"/>
        <charset val="1"/>
      </rPr>
      <t xml:space="preserve">IVA</t>
    </r>
    <r>
      <rPr>
        <b val="true"/>
        <sz val="12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</si>
  <si>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Noto Sans CJK SC"/>
        <family val="2"/>
      </rPr>
      <t xml:space="preserve">估算區間（</t>
    </r>
    <r>
      <rPr>
        <b val="true"/>
        <sz val="10"/>
        <color rgb="FF000000"/>
        <rFont val="Arial"/>
        <family val="0"/>
        <charset val="1"/>
      </rPr>
      <t xml:space="preserve">Class 3</t>
    </r>
    <r>
      <rPr>
        <b val="true"/>
        <sz val="10"/>
        <color rgb="FF000000"/>
        <rFont val="Noto Sans CJK SC"/>
        <family val="2"/>
      </rPr>
      <t xml:space="preserve">：−</t>
    </r>
    <r>
      <rPr>
        <b val="true"/>
        <sz val="10"/>
        <color rgb="FF000000"/>
        <rFont val="Arial"/>
        <family val="0"/>
        <charset val="1"/>
      </rPr>
      <t xml:space="preserve">15% / +25%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</si>
  <si>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低</t>
  </si>
  <si>
    <t xml:space="preserve">高（未稅）</t>
  </si>
  <si>
    <r>
      <rPr>
        <b val="true"/>
        <sz val="11"/>
        <color rgb="FF000000"/>
        <rFont val="Noto Sans CJK SC"/>
        <family val="2"/>
      </rPr>
      <t xml:space="preserve">與 </t>
    </r>
    <r>
      <rPr>
        <b val="true"/>
        <sz val="11"/>
        <color rgb="FF000000"/>
        <rFont val="Arial"/>
        <family val="0"/>
        <charset val="1"/>
      </rPr>
      <t xml:space="preserve">ACELON </t>
    </r>
    <r>
      <rPr>
        <b val="true"/>
        <sz val="11"/>
        <color rgb="FF000000"/>
        <rFont val="Noto Sans CJK SC"/>
        <family val="2"/>
      </rPr>
      <t xml:space="preserve">概算表（巴拉圭投資金額概算‑廠房，</t>
    </r>
    <r>
      <rPr>
        <b val="true"/>
        <sz val="11"/>
        <color rgb="FF000000"/>
        <rFont val="Arial"/>
        <family val="0"/>
        <charset val="1"/>
      </rPr>
      <t xml:space="preserve">WhatsApp 2026‑09‑10</t>
    </r>
    <r>
      <rPr>
        <b val="true"/>
        <sz val="11"/>
        <color rgb="FF000000"/>
        <rFont val="Noto Sans CJK SC"/>
        <family val="2"/>
      </rPr>
      <t xml:space="preserve">）比較</t>
    </r>
  </si>
  <si>
    <r>
      <rPr>
        <b val="true"/>
        <sz val="10"/>
        <color rgb="FFFFFFFF"/>
        <rFont val="Arial"/>
        <family val="0"/>
        <charset val="1"/>
      </rPr>
      <t xml:space="preserve">ACELON </t>
    </r>
    <r>
      <rPr>
        <b val="true"/>
        <sz val="10"/>
        <color rgb="FFFFFFFF"/>
        <rFont val="Noto Sans CJK SC"/>
        <family val="2"/>
      </rPr>
      <t xml:space="preserve">概算 </t>
    </r>
    <r>
      <rPr>
        <b val="true"/>
        <sz val="10"/>
        <color rgb="FFFFFFFF"/>
        <rFont val="Arial"/>
        <family val="0"/>
        <charset val="1"/>
      </rPr>
      <t xml:space="preserve">(NT$)</t>
    </r>
  </si>
  <si>
    <r>
      <rPr>
        <b val="true"/>
        <sz val="10"/>
        <color rgb="FFFFFFFF"/>
        <rFont val="Arial"/>
        <family val="0"/>
        <charset val="1"/>
      </rPr>
      <t xml:space="preserve">ACELON </t>
    </r>
    <r>
      <rPr>
        <b val="true"/>
        <sz val="10"/>
        <color rgb="FFFFFFFF"/>
        <rFont val="Noto Sans CJK SC"/>
        <family val="2"/>
      </rPr>
      <t xml:space="preserve">換算 </t>
    </r>
    <r>
      <rPr>
        <b val="true"/>
        <sz val="10"/>
        <color rgb="FFFFFFFF"/>
        <rFont val="Arial"/>
        <family val="0"/>
        <charset val="1"/>
      </rPr>
      <t xml:space="preserve">USD</t>
    </r>
  </si>
  <si>
    <r>
      <rPr>
        <b val="true"/>
        <sz val="10"/>
        <color rgb="FFFFFFFF"/>
        <rFont val="Noto Sans CJK SC"/>
        <family val="2"/>
      </rPr>
      <t xml:space="preserve">本估算 </t>
    </r>
    <r>
      <rPr>
        <b val="true"/>
        <sz val="10"/>
        <color rgb="FFFFFFFF"/>
        <rFont val="Arial"/>
        <family val="0"/>
        <charset val="1"/>
      </rPr>
      <t xml:space="preserve">USD</t>
    </r>
    <r>
      <rPr>
        <b val="true"/>
        <sz val="10"/>
        <color rgb="FFFFFFFF"/>
        <rFont val="Noto Sans CJK SC"/>
        <family val="2"/>
      </rPr>
      <t xml:space="preserve">（含 </t>
    </r>
    <r>
      <rPr>
        <b val="true"/>
        <sz val="10"/>
        <color rgb="FFFFFFFF"/>
        <rFont val="Arial"/>
        <family val="0"/>
        <charset val="1"/>
      </rPr>
      <t xml:space="preserve">OHP</t>
    </r>
    <r>
      <rPr>
        <b val="true"/>
        <sz val="10"/>
        <color rgb="FFFFFFFF"/>
        <rFont val="Noto Sans CJK SC"/>
        <family val="2"/>
      </rPr>
      <t xml:space="preserve">、未稅）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</si>
  <si>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</si>
  <si>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sz val="10"/>
        <color rgb="FF000000"/>
        <rFont val="Noto Sans CJK SC"/>
        <family val="2"/>
      </rPr>
      <t xml:space="preserve">原絲廠房 </t>
    </r>
    <r>
      <rPr>
        <sz val="10"/>
        <color rgb="FF000000"/>
        <rFont val="Arial"/>
        <family val="0"/>
        <charset val="1"/>
      </rPr>
      <t xml:space="preserve">RC </t>
    </r>
    <r>
      <rPr>
        <sz val="10"/>
        <color rgb="FF000000"/>
        <rFont val="Noto Sans CJK SC"/>
        <family val="2"/>
      </rPr>
      <t xml:space="preserve">工程（含消防、水電、電梯、地磅、雜項、設計）</t>
    </r>
  </si>
  <si>
    <t xml:space="preserve">假撚廠房鋼構工程（含消防、水電、雜項、設計）</t>
  </si>
  <si>
    <r>
      <rPr>
        <sz val="10"/>
        <color rgb="FF000000"/>
        <rFont val="Noto Sans CJK SC"/>
        <family val="2"/>
      </rPr>
      <t xml:space="preserve">公用廠房 </t>
    </r>
    <r>
      <rPr>
        <sz val="10"/>
        <color rgb="FF000000"/>
        <rFont val="Arial"/>
        <family val="0"/>
        <charset val="1"/>
      </rPr>
      <t xml:space="preserve">RC </t>
    </r>
    <r>
      <rPr>
        <sz val="10"/>
        <color rgb="FF000000"/>
        <rFont val="Noto Sans CJK SC"/>
        <family val="2"/>
      </rPr>
      <t xml:space="preserve">工程（含消防、水電、設計）</t>
    </r>
  </si>
  <si>
    <t xml:space="preserve">合計</t>
  </si>
  <si>
    <r>
      <rPr>
        <i val="true"/>
        <sz val="9"/>
        <color rgb="FF5B6068"/>
        <rFont val="Noto Sans CJK SC"/>
        <family val="2"/>
      </rPr>
      <t xml:space="preserve">註：</t>
    </r>
    <r>
      <rPr>
        <i val="true"/>
        <sz val="9"/>
        <color rgb="FF5B6068"/>
        <rFont val="Arial"/>
        <family val="0"/>
        <charset val="1"/>
      </rPr>
      <t xml:space="preserve">ACELON </t>
    </r>
    <r>
      <rPr>
        <i val="true"/>
        <sz val="9"/>
        <color rgb="FF5B6068"/>
        <rFont val="Noto Sans CJK SC"/>
        <family val="2"/>
      </rPr>
      <t xml:space="preserve">概算未含基地工程、公用設備、預備費與稅；本估算之基地工程與公用設備另列，故上表僅比較三棟建築。</t>
    </r>
    <r>
      <rPr>
        <i val="true"/>
        <sz val="9"/>
        <color rgb="FF5B6068"/>
        <rFont val="Arial"/>
        <family val="0"/>
        <charset val="1"/>
      </rPr>
      <t xml:space="preserve">ACELON </t>
    </r>
    <r>
      <rPr>
        <i val="true"/>
        <sz val="9"/>
        <color rgb="FF5B6068"/>
        <rFont val="Noto Sans CJK SC"/>
        <family val="2"/>
      </rPr>
      <t xml:space="preserve">概算幣別依單價量級判定為新台幣（假設 </t>
    </r>
    <r>
      <rPr>
        <i val="true"/>
        <sz val="9"/>
        <color rgb="FF5B6068"/>
        <rFont val="Arial"/>
        <family val="0"/>
        <charset val="1"/>
      </rPr>
      <t xml:space="preserve">32 NT$/USD</t>
    </r>
    <r>
      <rPr>
        <i val="true"/>
        <sz val="9"/>
        <color rgb="FF5B6068"/>
        <rFont val="Noto Sans CJK SC"/>
        <family val="2"/>
      </rPr>
      <t xml:space="preserve">）。</t>
    </r>
  </si>
  <si>
    <t xml:space="preserve">圖例：藍字＝輸入值（可修改）；黑字＝公式；綠字＝連結其他工作表；黃底＝關鍵假設與總額。修改「假設與單價」表即全表重算。</t>
  </si>
  <si>
    <r>
      <rPr>
        <b val="true"/>
        <sz val="14"/>
        <color rgb="FF000000"/>
        <rFont val="Arial"/>
        <family val="0"/>
        <charset val="1"/>
      </rPr>
      <t xml:space="preserve">ACELON Minga Guazú </t>
    </r>
    <r>
      <rPr>
        <b val="true"/>
        <sz val="14"/>
        <color rgb="FF000000"/>
        <rFont val="Noto Sans CJK SC"/>
        <family val="2"/>
      </rPr>
      <t xml:space="preserve">新廠 — 建造成本估算：假設與單價</t>
    </r>
  </si>
  <si>
    <r>
      <rPr>
        <i val="true"/>
        <sz val="10"/>
        <color rgb="FF5B6068"/>
        <rFont val="Noto Sans CJK SC"/>
        <family val="2"/>
      </rPr>
      <t xml:space="preserve">藍字＝可修改的輸入值；黑字＝公式。所有金額以 </t>
    </r>
    <r>
      <rPr>
        <i val="true"/>
        <sz val="10"/>
        <color rgb="FF5B6068"/>
        <rFont val="Arial"/>
        <family val="0"/>
        <charset val="1"/>
      </rPr>
      <t xml:space="preserve">USD </t>
    </r>
    <r>
      <rPr>
        <i val="true"/>
        <sz val="10"/>
        <color rgb="FF5B6068"/>
        <rFont val="Noto Sans CJK SC"/>
        <family val="2"/>
      </rPr>
      <t xml:space="preserve">計，匯率與單價來源見備註欄。估算基準日 </t>
    </r>
    <r>
      <rPr>
        <i val="true"/>
        <sz val="10"/>
        <color rgb="FF5B6068"/>
        <rFont val="Arial"/>
        <family val="0"/>
        <charset val="1"/>
      </rPr>
      <t xml:space="preserve">2026‑09‑16</t>
    </r>
    <r>
      <rPr>
        <i val="true"/>
        <sz val="10"/>
        <color rgb="FF5B6068"/>
        <rFont val="Noto Sans CJK SC"/>
        <family val="2"/>
      </rPr>
      <t xml:space="preserve">。</t>
    </r>
  </si>
  <si>
    <t xml:space="preserve">代號</t>
  </si>
  <si>
    <t xml:space="preserve">數值</t>
  </si>
  <si>
    <t xml:space="preserve">單位</t>
  </si>
  <si>
    <r>
      <rPr>
        <b val="true"/>
        <sz val="10"/>
        <color rgb="FFFFFFFF"/>
        <rFont val="Noto Sans CJK SC"/>
        <family val="2"/>
      </rPr>
      <t xml:space="preserve">來源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說明</t>
    </r>
  </si>
  <si>
    <t xml:space="preserve">FX</t>
  </si>
  <si>
    <r>
      <rPr>
        <sz val="10"/>
        <color rgb="FF000000"/>
        <rFont val="Noto Sans CJK SC"/>
        <family val="2"/>
      </rPr>
      <t xml:space="preserve">匯率 </t>
    </r>
    <r>
      <rPr>
        <sz val="10"/>
        <color rgb="FF000000"/>
        <rFont val="Arial"/>
        <family val="0"/>
        <charset val="1"/>
      </rPr>
      <t xml:space="preserve">USD/PYG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BCP 2026‑09‑15 </t>
    </r>
    <r>
      <rPr>
        <sz val="10"/>
        <color rgb="FF000000"/>
        <rFont val="Noto Sans CJK SC"/>
        <family val="2"/>
      </rPr>
      <t xml:space="preserve">參考匯率）</t>
    </r>
  </si>
  <si>
    <t xml:space="preserve">₲/USD</t>
  </si>
  <si>
    <t xml:space="preserve">BCP Cotización referencial fluctuante interbancario, 15‑09‑2026: https://www.bcp.gov.py/webapps/web/cotizacion/referencial-fluctuante-interbancario</t>
  </si>
  <si>
    <t xml:space="preserve">FXNT</t>
  </si>
  <si>
    <r>
      <rPr>
        <sz val="10"/>
        <color rgb="FF000000"/>
        <rFont val="Noto Sans CJK SC"/>
        <family val="2"/>
      </rPr>
      <t xml:space="preserve">匯率 </t>
    </r>
    <r>
      <rPr>
        <sz val="10"/>
        <color rgb="FF000000"/>
        <rFont val="Arial"/>
        <family val="0"/>
        <charset val="1"/>
      </rPr>
      <t xml:space="preserve">NTD/USD</t>
    </r>
    <r>
      <rPr>
        <sz val="10"/>
        <color rgb="FF000000"/>
        <rFont val="Noto Sans CJK SC"/>
        <family val="2"/>
      </rPr>
      <t xml:space="preserve">（供與 </t>
    </r>
    <r>
      <rPr>
        <sz val="10"/>
        <color rgb="FF000000"/>
        <rFont val="Arial"/>
        <family val="0"/>
        <charset val="1"/>
      </rPr>
      <t xml:space="preserve">ACELON </t>
    </r>
    <r>
      <rPr>
        <sz val="10"/>
        <color rgb="FF000000"/>
        <rFont val="Noto Sans CJK SC"/>
        <family val="2"/>
      </rPr>
      <t xml:space="preserve">概算比較）</t>
    </r>
  </si>
  <si>
    <t xml:space="preserve">NT$/USD</t>
  </si>
  <si>
    <r>
      <rPr>
        <sz val="9"/>
        <color rgb="FF5B6068"/>
        <rFont val="Noto Sans CJK SC"/>
        <family val="2"/>
      </rPr>
      <t xml:space="preserve">假設值；</t>
    </r>
    <r>
      <rPr>
        <sz val="9"/>
        <color rgb="FF5B6068"/>
        <rFont val="Arial"/>
        <family val="0"/>
        <charset val="1"/>
      </rPr>
      <t xml:space="preserve">ACELON </t>
    </r>
    <r>
      <rPr>
        <sz val="9"/>
        <color rgb="FF5B6068"/>
        <rFont val="Noto Sans CJK SC"/>
        <family val="2"/>
      </rPr>
      <t xml:space="preserve">概算表未註明幣別，依單價量級判定為新台幣（</t>
    </r>
    <r>
      <rPr>
        <sz val="9"/>
        <color rgb="FF5B6068"/>
        <rFont val="Arial"/>
        <family val="0"/>
        <charset val="1"/>
      </rPr>
      <t xml:space="preserve">RC </t>
    </r>
    <r>
      <rPr>
        <sz val="9"/>
        <color rgb="FF5B6068"/>
        <rFont val="Noto Sans CJK SC"/>
        <family val="2"/>
      </rPr>
      <t xml:space="preserve">廠房 </t>
    </r>
    <r>
      <rPr>
        <sz val="9"/>
        <color rgb="FF5B6068"/>
        <rFont val="Arial"/>
        <family val="0"/>
        <charset val="1"/>
      </rPr>
      <t xml:space="preserve">31,600/m²</t>
    </r>
    <r>
      <rPr>
        <sz val="9"/>
        <color rgb="FF5B6068"/>
        <rFont val="Noto Sans CJK SC"/>
        <family val="2"/>
      </rPr>
      <t xml:space="preserve">）</t>
    </r>
  </si>
  <si>
    <t xml:space="preserve">ESC</t>
  </si>
  <si>
    <r>
      <rPr>
        <sz val="10"/>
        <color rgb="FF000000"/>
        <rFont val="Arial"/>
        <family val="0"/>
        <charset val="1"/>
      </rPr>
      <t xml:space="preserve">CYPE 2024 </t>
    </r>
    <r>
      <rPr>
        <sz val="10"/>
        <color rgb="FF000000"/>
        <rFont val="Noto Sans CJK SC"/>
        <family val="2"/>
      </rPr>
      <t xml:space="preserve">基準單價至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之物價調整係數</t>
    </r>
  </si>
  <si>
    <t xml:space="preserve">倍</t>
  </si>
  <si>
    <r>
      <rPr>
        <sz val="9"/>
        <color rgb="FF5B6068"/>
        <rFont val="Arial"/>
        <family val="0"/>
        <charset val="1"/>
      </rPr>
      <t xml:space="preserve">CAPACO</t>
    </r>
    <r>
      <rPr>
        <sz val="9"/>
        <color rgb="FF5B6068"/>
        <rFont val="Noto Sans CJK SC"/>
        <family val="2"/>
      </rPr>
      <t xml:space="preserve">：</t>
    </r>
    <r>
      <rPr>
        <sz val="9"/>
        <color rgb="FF5B6068"/>
        <rFont val="Arial"/>
        <family val="0"/>
        <charset val="1"/>
      </rPr>
      <t xml:space="preserve">2025 </t>
    </r>
    <r>
      <rPr>
        <sz val="9"/>
        <color rgb="FF5B6068"/>
        <rFont val="Noto Sans CJK SC"/>
        <family val="2"/>
      </rPr>
      <t xml:space="preserve">年 </t>
    </r>
    <r>
      <rPr>
        <sz val="9"/>
        <color rgb="FF5B6068"/>
        <rFont val="Arial"/>
        <family val="0"/>
        <charset val="1"/>
      </rPr>
      <t xml:space="preserve">3 </t>
    </r>
    <r>
      <rPr>
        <sz val="9"/>
        <color rgb="FF5B6068"/>
        <rFont val="Noto Sans CJK SC"/>
        <family val="2"/>
      </rPr>
      <t xml:space="preserve">月磚 </t>
    </r>
    <r>
      <rPr>
        <sz val="9"/>
        <color rgb="FF5B6068"/>
        <rFont val="Arial"/>
        <family val="0"/>
        <charset val="1"/>
      </rPr>
      <t xml:space="preserve">+8.2%</t>
    </r>
    <r>
      <rPr>
        <sz val="9"/>
        <color rgb="FF5B6068"/>
        <rFont val="Noto Sans CJK SC"/>
        <family val="2"/>
      </rPr>
      <t xml:space="preserve">、水泥 </t>
    </r>
    <r>
      <rPr>
        <sz val="9"/>
        <color rgb="FF5B6068"/>
        <rFont val="Arial"/>
        <family val="0"/>
        <charset val="1"/>
      </rPr>
      <t xml:space="preserve">+6.3%</t>
    </r>
    <r>
      <rPr>
        <sz val="9"/>
        <color rgb="FF5B6068"/>
        <rFont val="Noto Sans CJK SC"/>
        <family val="2"/>
      </rPr>
      <t xml:space="preserve">、泥作工資 </t>
    </r>
    <r>
      <rPr>
        <sz val="9"/>
        <color rgb="FF5B6068"/>
        <rFont val="Arial"/>
        <family val="0"/>
        <charset val="1"/>
      </rPr>
      <t xml:space="preserve">+3.4%</t>
    </r>
    <r>
      <rPr>
        <sz val="9"/>
        <color rgb="FF5B6068"/>
        <rFont val="Noto Sans CJK SC"/>
        <family val="2"/>
      </rPr>
      <t xml:space="preserve">（</t>
    </r>
    <r>
      <rPr>
        <sz val="9"/>
        <color rgb="FF5B6068"/>
        <rFont val="Arial"/>
        <family val="0"/>
        <charset val="1"/>
      </rPr>
      <t xml:space="preserve">Última Hora 2025‑05‑06</t>
    </r>
    <r>
      <rPr>
        <sz val="9"/>
        <color rgb="FF5B6068"/>
        <rFont val="Noto Sans CJK SC"/>
        <family val="2"/>
      </rPr>
      <t xml:space="preserve">）；兩年累計取 </t>
    </r>
    <r>
      <rPr>
        <sz val="9"/>
        <color rgb="FF5B6068"/>
        <rFont val="Arial"/>
        <family val="0"/>
        <charset val="1"/>
      </rPr>
      <t xml:space="preserve">+10%</t>
    </r>
  </si>
  <si>
    <t xml:space="preserve">CONC</t>
  </si>
  <si>
    <r>
      <rPr>
        <sz val="10"/>
        <color rgb="FF000000"/>
        <rFont val="Noto Sans CJK SC"/>
        <family val="2"/>
      </rPr>
      <t xml:space="preserve">混凝土 </t>
    </r>
    <r>
      <rPr>
        <sz val="10"/>
        <color rgb="FF000000"/>
        <rFont val="Arial"/>
        <family val="0"/>
        <charset val="1"/>
      </rPr>
      <t xml:space="preserve">fck 250 </t>
    </r>
    <r>
      <rPr>
        <sz val="10"/>
        <color rgb="FF000000"/>
        <rFont val="Noto Sans CJK SC"/>
        <family val="2"/>
      </rPr>
      <t xml:space="preserve">泵送到位（含振搗養護）</t>
    </r>
  </si>
  <si>
    <t xml:space="preserve">USD/m³</t>
  </si>
  <si>
    <r>
      <rPr>
        <sz val="9"/>
        <color rgb="FF5B6068"/>
        <rFont val="Arial"/>
        <family val="0"/>
        <charset val="1"/>
      </rPr>
      <t xml:space="preserve">costeo.com.py</t>
    </r>
    <r>
      <rPr>
        <sz val="9"/>
        <color rgb="FF5B6068"/>
        <rFont val="Noto Sans CJK SC"/>
        <family val="2"/>
      </rPr>
      <t xml:space="preserve">：</t>
    </r>
    <r>
      <rPr>
        <sz val="9"/>
        <color rgb="FF5B6068"/>
        <rFont val="Arial"/>
        <family val="0"/>
        <charset val="1"/>
      </rPr>
      <t xml:space="preserve">Hormigón Fck=250 bombeado ₲900,000/m³</t>
    </r>
    <r>
      <rPr>
        <sz val="9"/>
        <color rgb="FF5B6068"/>
        <rFont val="Noto Sans CJK SC"/>
        <family val="2"/>
      </rPr>
      <t xml:space="preserve">；加澆置人工與損耗 </t>
    </r>
    <r>
      <rPr>
        <sz val="9"/>
        <color rgb="FF5B6068"/>
        <rFont val="Arial"/>
        <family val="0"/>
        <charset val="1"/>
      </rPr>
      <t xml:space="preserve">12%</t>
    </r>
  </si>
  <si>
    <t xml:space="preserve">REB</t>
  </si>
  <si>
    <r>
      <rPr>
        <sz val="10"/>
        <color rgb="FF000000"/>
        <rFont val="Noto Sans CJK SC"/>
        <family val="2"/>
      </rPr>
      <t xml:space="preserve">鋼筋 </t>
    </r>
    <r>
      <rPr>
        <sz val="10"/>
        <color rgb="FF000000"/>
        <rFont val="Arial"/>
        <family val="0"/>
        <charset val="1"/>
      </rPr>
      <t xml:space="preserve">AP500 </t>
    </r>
    <r>
      <rPr>
        <sz val="10"/>
        <color rgb="FF000000"/>
        <rFont val="Noto Sans CJK SC"/>
        <family val="2"/>
      </rPr>
      <t xml:space="preserve">供料＋加工＋綁紮</t>
    </r>
  </si>
  <si>
    <t xml:space="preserve">USD/kg</t>
  </si>
  <si>
    <r>
      <rPr>
        <sz val="9"/>
        <color rgb="FF5B6068"/>
        <rFont val="Arial"/>
        <family val="0"/>
        <charset val="1"/>
      </rPr>
      <t xml:space="preserve">costeo.com.py</t>
    </r>
    <r>
      <rPr>
        <sz val="9"/>
        <color rgb="FF5B6068"/>
        <rFont val="Noto Sans CJK SC"/>
        <family val="2"/>
      </rPr>
      <t xml:space="preserve">：</t>
    </r>
    <r>
      <rPr>
        <sz val="9"/>
        <color rgb="FF5B6068"/>
        <rFont val="Arial"/>
        <family val="0"/>
        <charset val="1"/>
      </rPr>
      <t xml:space="preserve">varilla conformada ₲7,390/kg</t>
    </r>
    <r>
      <rPr>
        <sz val="9"/>
        <color rgb="FF5B6068"/>
        <rFont val="Noto Sans CJK SC"/>
        <family val="2"/>
      </rPr>
      <t xml:space="preserve">；加工綁紮人工＋鐵線約 ₲</t>
    </r>
    <r>
      <rPr>
        <sz val="9"/>
        <color rgb="FF5B6068"/>
        <rFont val="Arial"/>
        <family val="0"/>
        <charset val="1"/>
      </rPr>
      <t xml:space="preserve">1,400/kg</t>
    </r>
  </si>
  <si>
    <t xml:space="preserve">FWC</t>
  </si>
  <si>
    <t xml:space="preserve">模板—柱樑（鋼模／木模，含支撐）</t>
  </si>
  <si>
    <r>
      <rPr>
        <sz val="9"/>
        <color rgb="FF5B6068"/>
        <rFont val="Arial"/>
        <family val="0"/>
        <charset val="1"/>
      </rPr>
      <t xml:space="preserve">CYPE Paraguay EHS010</t>
    </r>
    <r>
      <rPr>
        <sz val="9"/>
        <color rgb="FF5B6068"/>
        <rFont val="Noto Sans CJK SC"/>
        <family val="2"/>
      </rPr>
      <t xml:space="preserve">（鋼板模 </t>
    </r>
    <r>
      <rPr>
        <sz val="9"/>
        <color rgb="FF5B6068"/>
        <rFont val="Arial"/>
        <family val="0"/>
        <charset val="1"/>
      </rPr>
      <t xml:space="preserve">50 </t>
    </r>
    <r>
      <rPr>
        <sz val="9"/>
        <color rgb="FF5B6068"/>
        <rFont val="Noto Sans CJK SC"/>
        <family val="2"/>
      </rPr>
      <t xml:space="preserve">次攤提）₲</t>
    </r>
    <r>
      <rPr>
        <sz val="9"/>
        <color rgb="FF5B6068"/>
        <rFont val="Arial"/>
        <family val="0"/>
        <charset val="1"/>
      </rPr>
      <t xml:space="preserve">296,843/m² </t>
    </r>
    <r>
      <rPr>
        <sz val="9"/>
        <color rgb="FF5B6068"/>
        <rFont val="Noto Sans CJK SC"/>
        <family val="2"/>
      </rPr>
      <t xml:space="preserve">為含大量攤提之高值；依當地習慣木模＋鋼管支撐取 </t>
    </r>
    <r>
      <rPr>
        <sz val="9"/>
        <color rgb="FF5B6068"/>
        <rFont val="Arial"/>
        <family val="0"/>
        <charset val="1"/>
      </rPr>
      <t xml:space="preserve">USD 26/m²</t>
    </r>
  </si>
  <si>
    <t xml:space="preserve">FWS</t>
  </si>
  <si>
    <r>
      <rPr>
        <sz val="10"/>
        <color rgb="FF000000"/>
        <rFont val="Noto Sans CJK SC"/>
        <family val="2"/>
      </rPr>
      <t xml:space="preserve">模板—樓板（含 </t>
    </r>
    <r>
      <rPr>
        <sz val="10"/>
        <color rgb="FF000000"/>
        <rFont val="Arial"/>
        <family val="0"/>
        <charset val="1"/>
      </rPr>
      <t xml:space="preserve">3.7–4 m </t>
    </r>
    <r>
      <rPr>
        <sz val="10"/>
        <color rgb="FF000000"/>
        <rFont val="Noto Sans CJK SC"/>
        <family val="2"/>
      </rPr>
      <t xml:space="preserve">支撐）</t>
    </r>
  </si>
  <si>
    <r>
      <rPr>
        <sz val="9"/>
        <color rgb="FF5B6068"/>
        <rFont val="Arial"/>
        <family val="0"/>
        <charset val="1"/>
      </rPr>
      <t xml:space="preserve">CYPE Paraguay </t>
    </r>
    <r>
      <rPr>
        <sz val="9"/>
        <color rgb="FF5B6068"/>
        <rFont val="Noto Sans CJK SC"/>
        <family val="2"/>
      </rPr>
      <t xml:space="preserve">樓板 </t>
    </r>
    <r>
      <rPr>
        <sz val="9"/>
        <color rgb="FF5B6068"/>
        <rFont val="Arial"/>
        <family val="0"/>
        <charset val="1"/>
      </rPr>
      <t xml:space="preserve">24 cm </t>
    </r>
    <r>
      <rPr>
        <sz val="9"/>
        <color rgb="FF5B6068"/>
        <rFont val="Noto Sans CJK SC"/>
        <family val="2"/>
      </rPr>
      <t xml:space="preserve">單價 ₲</t>
    </r>
    <r>
      <rPr>
        <sz val="9"/>
        <color rgb="FF5B6068"/>
        <rFont val="Arial"/>
        <family val="0"/>
        <charset val="1"/>
      </rPr>
      <t xml:space="preserve">583,257/m² </t>
    </r>
    <r>
      <rPr>
        <sz val="9"/>
        <color rgb="FF5B6068"/>
        <rFont val="Noto Sans CJK SC"/>
        <family val="2"/>
      </rPr>
      <t xml:space="preserve">中材料含模板 </t>
    </r>
    <r>
      <rPr>
        <sz val="9"/>
        <color rgb="FF5B6068"/>
        <rFont val="Arial"/>
        <family val="0"/>
        <charset val="1"/>
      </rPr>
      <t xml:space="preserve">25 </t>
    </r>
    <r>
      <rPr>
        <sz val="9"/>
        <color rgb="FF5B6068"/>
        <rFont val="Noto Sans CJK SC"/>
        <family val="2"/>
      </rPr>
      <t xml:space="preserve">次攤提；取 </t>
    </r>
    <r>
      <rPr>
        <sz val="9"/>
        <color rgb="FF5B6068"/>
        <rFont val="Arial"/>
        <family val="0"/>
        <charset val="1"/>
      </rPr>
      <t xml:space="preserve">USD 22/m²</t>
    </r>
  </si>
  <si>
    <t xml:space="preserve">EXC</t>
  </si>
  <si>
    <t xml:space="preserve">土方開挖與回填（機械）</t>
  </si>
  <si>
    <r>
      <rPr>
        <sz val="9"/>
        <color rgb="FF5B6068"/>
        <rFont val="Noto Sans CJK SC"/>
        <family val="2"/>
      </rPr>
      <t xml:space="preserve">當地行情估計（挖土機＋運棄 </t>
    </r>
    <r>
      <rPr>
        <sz val="9"/>
        <color rgb="FF5B6068"/>
        <rFont val="Arial"/>
        <family val="0"/>
        <charset val="1"/>
      </rPr>
      <t xml:space="preserve">10 km </t>
    </r>
    <r>
      <rPr>
        <sz val="9"/>
        <color rgb="FF5B6068"/>
        <rFont val="Noto Sans CJK SC"/>
        <family val="2"/>
      </rPr>
      <t xml:space="preserve">內）</t>
    </r>
  </si>
  <si>
    <t xml:space="preserve">LEAN</t>
  </si>
  <si>
    <r>
      <rPr>
        <sz val="10"/>
        <color rgb="FF000000"/>
        <rFont val="Noto Sans CJK SC"/>
        <family val="2"/>
      </rPr>
      <t xml:space="preserve">墊層混凝土 </t>
    </r>
    <r>
      <rPr>
        <sz val="10"/>
        <color rgb="FF000000"/>
        <rFont val="Arial"/>
        <family val="0"/>
        <charset val="1"/>
      </rPr>
      <t xml:space="preserve">fck 150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 cm</t>
    </r>
    <r>
      <rPr>
        <sz val="10"/>
        <color rgb="FF000000"/>
        <rFont val="Noto Sans CJK SC"/>
        <family val="2"/>
      </rPr>
      <t xml:space="preserve">）</t>
    </r>
  </si>
  <si>
    <t xml:space="preserve">costeo/CYPE HM‑15 ≈ ₲560,000/m³</t>
  </si>
  <si>
    <t xml:space="preserve">SOG</t>
  </si>
  <si>
    <r>
      <rPr>
        <sz val="10"/>
        <color rgb="FF000000"/>
        <rFont val="Noto Sans CJK SC"/>
        <family val="2"/>
      </rPr>
      <t xml:space="preserve">工業地坪 </t>
    </r>
    <r>
      <rPr>
        <sz val="10"/>
        <color rgb="FF000000"/>
        <rFont val="Arial"/>
        <family val="0"/>
        <charset val="1"/>
      </rPr>
      <t xml:space="preserve">20 cm </t>
    </r>
    <r>
      <rPr>
        <sz val="10"/>
        <color rgb="FF000000"/>
        <rFont val="Noto Sans CJK SC"/>
        <family val="2"/>
      </rPr>
      <t xml:space="preserve">纖維混凝土＋硬化劑（含整平、切縫）</t>
    </r>
  </si>
  <si>
    <r>
      <rPr>
        <sz val="9"/>
        <color rgb="FF5B6068"/>
        <rFont val="Arial"/>
        <family val="0"/>
        <charset val="1"/>
      </rPr>
      <t xml:space="preserve">CYPE Paraguay RSI007</t>
    </r>
    <r>
      <rPr>
        <sz val="9"/>
        <color rgb="FF5B6068"/>
        <rFont val="Noto Sans CJK SC"/>
        <family val="2"/>
      </rPr>
      <t xml:space="preserve">：₲</t>
    </r>
    <r>
      <rPr>
        <sz val="9"/>
        <color rgb="FF5B6068"/>
        <rFont val="Arial"/>
        <family val="0"/>
        <charset val="1"/>
      </rPr>
      <t xml:space="preserve">335,751/m² × ESC</t>
    </r>
  </si>
  <si>
    <t xml:space="preserve">RCW</t>
  </si>
  <si>
    <r>
      <rPr>
        <sz val="10"/>
        <color rgb="FF000000"/>
        <rFont val="Arial"/>
        <family val="0"/>
        <charset val="1"/>
      </rPr>
      <t xml:space="preserve">RC </t>
    </r>
    <r>
      <rPr>
        <sz val="10"/>
        <color rgb="FF000000"/>
        <rFont val="Noto Sans CJK SC"/>
        <family val="2"/>
      </rPr>
      <t xml:space="preserve">外牆 </t>
    </r>
    <r>
      <rPr>
        <sz val="10"/>
        <color rgb="FF000000"/>
        <rFont val="Arial"/>
        <family val="0"/>
        <charset val="1"/>
      </rPr>
      <t xml:space="preserve">20 cm</t>
    </r>
    <r>
      <rPr>
        <sz val="10"/>
        <color rgb="FF000000"/>
        <rFont val="Noto Sans CJK SC"/>
        <family val="2"/>
      </rPr>
      <t xml:space="preserve">（含雙面模板、鋼筋 </t>
    </r>
    <r>
      <rPr>
        <sz val="10"/>
        <color rgb="FF000000"/>
        <rFont val="Arial"/>
        <family val="0"/>
        <charset val="1"/>
      </rPr>
      <t xml:space="preserve">80 kg/m³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</si>
  <si>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Noto Sans CJK SC"/>
        <family val="2"/>
      </rPr>
      <t xml:space="preserve">由 </t>
    </r>
    <r>
      <rPr>
        <sz val="9"/>
        <color rgb="FF5B6068"/>
        <rFont val="Arial"/>
        <family val="0"/>
        <charset val="1"/>
      </rPr>
      <t xml:space="preserve">CONC/REB/FWC </t>
    </r>
    <r>
      <rPr>
        <sz val="9"/>
        <color rgb="FF5B6068"/>
        <rFont val="Noto Sans CJK SC"/>
        <family val="2"/>
      </rPr>
      <t xml:space="preserve">組成：</t>
    </r>
    <r>
      <rPr>
        <sz val="9"/>
        <color rgb="FF5B6068"/>
        <rFont val="Arial"/>
        <family val="0"/>
        <charset val="1"/>
      </rPr>
      <t xml:space="preserve">0.2 m³ + 16 kg + 2 m² </t>
    </r>
    <r>
      <rPr>
        <sz val="9"/>
        <color rgb="FF5B6068"/>
        <rFont val="Noto Sans CJK SC"/>
        <family val="2"/>
      </rPr>
      <t xml:space="preserve">模板</t>
    </r>
  </si>
  <si>
    <t xml:space="preserve">BRK</t>
  </si>
  <si>
    <r>
      <rPr>
        <sz val="10"/>
        <color rgb="FF000000"/>
        <rFont val="Noto Sans CJK SC"/>
        <family val="2"/>
      </rPr>
      <t xml:space="preserve">砌磚隔間 </t>
    </r>
    <r>
      <rPr>
        <sz val="10"/>
        <color rgb="FF000000"/>
        <rFont val="Arial"/>
        <family val="0"/>
        <charset val="1"/>
      </rPr>
      <t xml:space="preserve">15 cm</t>
    </r>
    <r>
      <rPr>
        <sz val="10"/>
        <color rgb="FF000000"/>
        <rFont val="Noto Sans CJK SC"/>
        <family val="2"/>
      </rPr>
      <t xml:space="preserve">（空心磚）</t>
    </r>
  </si>
  <si>
    <r>
      <rPr>
        <sz val="9"/>
        <color rgb="FF5B6068"/>
        <rFont val="Arial"/>
        <family val="0"/>
        <charset val="1"/>
      </rPr>
      <t xml:space="preserve">CYPE Paraguay FFQ010</t>
    </r>
    <r>
      <rPr>
        <sz val="9"/>
        <color rgb="FF5B6068"/>
        <rFont val="Noto Sans CJK SC"/>
        <family val="2"/>
      </rPr>
      <t xml:space="preserve">（</t>
    </r>
    <r>
      <rPr>
        <sz val="9"/>
        <color rgb="FF5B6068"/>
        <rFont val="Arial"/>
        <family val="0"/>
        <charset val="1"/>
      </rPr>
      <t xml:space="preserve">7 cm </t>
    </r>
    <r>
      <rPr>
        <sz val="9"/>
        <color rgb="FF5B6068"/>
        <rFont val="Noto Sans CJK SC"/>
        <family val="2"/>
      </rPr>
      <t xml:space="preserve">雙孔磚）₲</t>
    </r>
    <r>
      <rPr>
        <sz val="9"/>
        <color rgb="FF5B6068"/>
        <rFont val="Arial"/>
        <family val="0"/>
        <charset val="1"/>
      </rPr>
      <t xml:space="preserve">106,527/m²</t>
    </r>
    <r>
      <rPr>
        <sz val="9"/>
        <color rgb="FF5B6068"/>
        <rFont val="Noto Sans CJK SC"/>
        <family val="2"/>
      </rPr>
      <t xml:space="preserve">；</t>
    </r>
    <r>
      <rPr>
        <sz val="9"/>
        <color rgb="FF5B6068"/>
        <rFont val="Arial"/>
        <family val="0"/>
        <charset val="1"/>
      </rPr>
      <t xml:space="preserve">15 cm </t>
    </r>
    <r>
      <rPr>
        <sz val="9"/>
        <color rgb="FF5B6068"/>
        <rFont val="Noto Sans CJK SC"/>
        <family val="2"/>
      </rPr>
      <t xml:space="preserve">牆取 </t>
    </r>
    <r>
      <rPr>
        <sz val="9"/>
        <color rgb="FF5B6068"/>
        <rFont val="Arial"/>
        <family val="0"/>
        <charset val="1"/>
      </rPr>
      <t xml:space="preserve">1.9 </t>
    </r>
    <r>
      <rPr>
        <sz val="9"/>
        <color rgb="FF5B6068"/>
        <rFont val="Noto Sans CJK SC"/>
        <family val="2"/>
      </rPr>
      <t xml:space="preserve">倍 </t>
    </r>
    <r>
      <rPr>
        <sz val="9"/>
        <color rgb="FF5B6068"/>
        <rFont val="Arial"/>
        <family val="0"/>
        <charset val="1"/>
      </rPr>
      <t xml:space="preserve">× ESC</t>
    </r>
  </si>
  <si>
    <t xml:space="preserve">PLA</t>
  </si>
  <si>
    <t xml:space="preserve">粉刷＋油漆（每面）</t>
  </si>
  <si>
    <r>
      <rPr>
        <sz val="9"/>
        <color rgb="FF5B6068"/>
        <rFont val="Noto Sans CJK SC"/>
        <family val="2"/>
      </rPr>
      <t xml:space="preserve">當地行情：粉刷 ₲</t>
    </r>
    <r>
      <rPr>
        <sz val="9"/>
        <color rgb="FF5B6068"/>
        <rFont val="Arial"/>
        <family val="0"/>
        <charset val="1"/>
      </rPr>
      <t xml:space="preserve">35,000 + </t>
    </r>
    <r>
      <rPr>
        <sz val="9"/>
        <color rgb="FF5B6068"/>
        <rFont val="Noto Sans CJK SC"/>
        <family val="2"/>
      </rPr>
      <t xml:space="preserve">乳膠漆 ₲</t>
    </r>
    <r>
      <rPr>
        <sz val="9"/>
        <color rgb="FF5B6068"/>
        <rFont val="Arial"/>
        <family val="0"/>
        <charset val="1"/>
      </rPr>
      <t xml:space="preserve">28,000 /m²</t>
    </r>
  </si>
  <si>
    <t xml:space="preserve">ZINC4</t>
  </si>
  <si>
    <r>
      <rPr>
        <sz val="10"/>
        <color rgb="FF000000"/>
        <rFont val="Noto Sans CJK SC"/>
        <family val="2"/>
      </rPr>
      <t xml:space="preserve">屋頂 </t>
    </r>
    <r>
      <rPr>
        <sz val="10"/>
        <color rgb="FF000000"/>
        <rFont val="Arial"/>
        <family val="0"/>
        <charset val="1"/>
      </rPr>
      <t xml:space="preserve">Zincalum 4</t>
    </r>
    <r>
      <rPr>
        <sz val="10"/>
        <color rgb="FF000000"/>
        <rFont val="Noto Sans CJK SC"/>
        <family val="2"/>
      </rPr>
      <t xml:space="preserve">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隔熱三明治板 </t>
    </r>
    <r>
      <rPr>
        <sz val="10"/>
        <color rgb="FF000000"/>
        <rFont val="Arial"/>
        <family val="0"/>
        <charset val="1"/>
      </rPr>
      <t xml:space="preserve">100 mm</t>
    </r>
    <r>
      <rPr>
        <sz val="10"/>
        <color rgb="FF000000"/>
        <rFont val="Noto Sans CJK SC"/>
        <family val="2"/>
      </rPr>
      <t xml:space="preserve">（含固定件、收邊）</t>
    </r>
  </si>
  <si>
    <r>
      <rPr>
        <sz val="9"/>
        <color rgb="FF5B6068"/>
        <rFont val="Arial"/>
        <family val="0"/>
        <charset val="1"/>
      </rPr>
      <t xml:space="preserve">CYPE Paraguay QUM020</t>
    </r>
    <r>
      <rPr>
        <sz val="9"/>
        <color rgb="FF5B6068"/>
        <rFont val="Noto Sans CJK SC"/>
        <family val="2"/>
      </rPr>
      <t xml:space="preserve">：₲</t>
    </r>
    <r>
      <rPr>
        <sz val="9"/>
        <color rgb="FF5B6068"/>
        <rFont val="Arial"/>
        <family val="0"/>
        <charset val="1"/>
      </rPr>
      <t xml:space="preserve">439,960/m² × ESC</t>
    </r>
  </si>
  <si>
    <t xml:space="preserve">ZINC2</t>
  </si>
  <si>
    <r>
      <rPr>
        <sz val="10"/>
        <color rgb="FF000000"/>
        <rFont val="Noto Sans CJK SC"/>
        <family val="2"/>
      </rPr>
      <t xml:space="preserve">外牆 </t>
    </r>
    <r>
      <rPr>
        <sz val="10"/>
        <color rgb="FF000000"/>
        <rFont val="Arial"/>
        <family val="0"/>
        <charset val="1"/>
      </rPr>
      <t xml:space="preserve">Zincalum 2</t>
    </r>
    <r>
      <rPr>
        <sz val="10"/>
        <color rgb="FF000000"/>
        <rFont val="Noto Sans CJK SC"/>
        <family val="2"/>
      </rPr>
      <t xml:space="preserve">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板（</t>
    </r>
    <r>
      <rPr>
        <sz val="10"/>
        <color rgb="FF000000"/>
        <rFont val="Arial"/>
        <family val="0"/>
        <charset val="1"/>
      </rPr>
      <t xml:space="preserve">4F </t>
    </r>
    <r>
      <rPr>
        <sz val="10"/>
        <color rgb="FF000000"/>
        <rFont val="Noto Sans CJK SC"/>
        <family val="2"/>
      </rPr>
      <t xml:space="preserve">側牆／</t>
    </r>
    <r>
      <rPr>
        <sz val="10"/>
        <color rgb="FF000000"/>
        <rFont val="Arial"/>
        <family val="0"/>
        <charset val="1"/>
      </rPr>
      <t xml:space="preserve">DTY </t>
    </r>
    <r>
      <rPr>
        <sz val="10"/>
        <color rgb="FF000000"/>
        <rFont val="Noto Sans CJK SC"/>
        <family val="2"/>
      </rPr>
      <t xml:space="preserve">外牆，含次結構）</t>
    </r>
  </si>
  <si>
    <r>
      <rPr>
        <sz val="9"/>
        <color rgb="FF5B6068"/>
        <rFont val="Noto Sans CJK SC"/>
        <family val="2"/>
      </rPr>
      <t xml:space="preserve">三明治板約 </t>
    </r>
    <r>
      <rPr>
        <sz val="9"/>
        <color rgb="FF5B6068"/>
        <rFont val="Arial"/>
        <family val="0"/>
        <charset val="1"/>
      </rPr>
      <t xml:space="preserve">6 </t>
    </r>
    <r>
      <rPr>
        <sz val="9"/>
        <color rgb="FF5B6068"/>
        <rFont val="Noto Sans CJK SC"/>
        <family val="2"/>
      </rPr>
      <t xml:space="preserve">成價位；含 </t>
    </r>
    <r>
      <rPr>
        <sz val="9"/>
        <color rgb="FF5B6068"/>
        <rFont val="Arial"/>
        <family val="0"/>
        <charset val="1"/>
      </rPr>
      <t xml:space="preserve">C </t>
    </r>
    <r>
      <rPr>
        <sz val="9"/>
        <color rgb="FF5B6068"/>
        <rFont val="Noto Sans CJK SC"/>
        <family val="2"/>
      </rPr>
      <t xml:space="preserve">型鋼牆桁</t>
    </r>
  </si>
  <si>
    <t xml:space="preserve">STL</t>
  </si>
  <si>
    <r>
      <rPr>
        <sz val="10"/>
        <color rgb="FF000000"/>
        <rFont val="Noto Sans CJK SC"/>
        <family val="2"/>
      </rPr>
      <t xml:space="preserve">鋼結構 </t>
    </r>
    <r>
      <rPr>
        <sz val="10"/>
        <color rgb="FF000000"/>
        <rFont val="Arial"/>
        <family val="0"/>
        <charset val="1"/>
      </rPr>
      <t xml:space="preserve">A36 </t>
    </r>
    <r>
      <rPr>
        <sz val="10"/>
        <color rgb="FF000000"/>
        <rFont val="Noto Sans CJK SC"/>
        <family val="2"/>
      </rPr>
      <t xml:space="preserve">熱軋型鋼—製作、防鏽漆、安裝</t>
    </r>
  </si>
  <si>
    <r>
      <rPr>
        <sz val="9"/>
        <color rgb="FF5B6068"/>
        <rFont val="Arial"/>
        <family val="0"/>
        <charset val="1"/>
      </rPr>
      <t xml:space="preserve">CYPE Paraguay EAM010</t>
    </r>
    <r>
      <rPr>
        <sz val="9"/>
        <color rgb="FF5B6068"/>
        <rFont val="Noto Sans CJK SC"/>
        <family val="2"/>
      </rPr>
      <t xml:space="preserve">：門式鋼架 ₲</t>
    </r>
    <r>
      <rPr>
        <sz val="9"/>
        <color rgb="FF5B6068"/>
        <rFont val="Arial"/>
        <family val="0"/>
        <charset val="1"/>
      </rPr>
      <t xml:space="preserve">383,251/m² ÷ 32.8 kg/m² = ₲11,684/kg × ESC</t>
    </r>
    <r>
      <rPr>
        <sz val="9"/>
        <color rgb="FF5B6068"/>
        <rFont val="Noto Sans CJK SC"/>
        <family val="2"/>
      </rPr>
      <t xml:space="preserve">；重型 </t>
    </r>
    <r>
      <rPr>
        <sz val="9"/>
        <color rgb="FF5B6068"/>
        <rFont val="Arial"/>
        <family val="0"/>
        <charset val="1"/>
      </rPr>
      <t xml:space="preserve">29 m </t>
    </r>
    <r>
      <rPr>
        <sz val="9"/>
        <color rgb="FF5B6068"/>
        <rFont val="Noto Sans CJK SC"/>
        <family val="2"/>
      </rPr>
      <t xml:space="preserve">跨另加 </t>
    </r>
    <r>
      <rPr>
        <sz val="9"/>
        <color rgb="FF5B6068"/>
        <rFont val="Arial"/>
        <family val="0"/>
        <charset val="1"/>
      </rPr>
      <t xml:space="preserve">5%</t>
    </r>
  </si>
  <si>
    <t xml:space="preserve">STLKG</t>
  </si>
  <si>
    <r>
      <rPr>
        <sz val="10"/>
        <color rgb="FF000000"/>
        <rFont val="Arial"/>
        <family val="0"/>
        <charset val="1"/>
      </rPr>
      <t xml:space="preserve">DTY </t>
    </r>
    <r>
      <rPr>
        <sz val="10"/>
        <color rgb="FF000000"/>
        <rFont val="Noto Sans CJK SC"/>
        <family val="2"/>
      </rPr>
      <t xml:space="preserve">鋼架用鋼量（</t>
    </r>
    <r>
      <rPr>
        <sz val="10"/>
        <color rgb="FF000000"/>
        <rFont val="Arial"/>
        <family val="0"/>
        <charset val="1"/>
      </rPr>
      <t xml:space="preserve">29 m </t>
    </r>
    <r>
      <rPr>
        <sz val="10"/>
        <color rgb="FF000000"/>
        <rFont val="Noto Sans CJK SC"/>
        <family val="2"/>
      </rPr>
      <t xml:space="preserve">雙跨、簷高 </t>
    </r>
    <r>
      <rPr>
        <sz val="10"/>
        <color rgb="FF000000"/>
        <rFont val="Arial"/>
        <family val="0"/>
        <charset val="1"/>
      </rPr>
      <t xml:space="preserve">11 m</t>
    </r>
    <r>
      <rPr>
        <sz val="10"/>
        <color rgb="FF000000"/>
        <rFont val="Noto Sans CJK SC"/>
        <family val="2"/>
      </rPr>
      <t xml:space="preserve">、含桁條）</t>
    </r>
  </si>
  <si>
    <t xml:space="preserve">kg/m²</t>
  </si>
  <si>
    <r>
      <rPr>
        <sz val="9"/>
        <color rgb="FF5B6068"/>
        <rFont val="Arial"/>
        <family val="0"/>
        <charset val="1"/>
      </rPr>
      <t xml:space="preserve">CYPE </t>
    </r>
    <r>
      <rPr>
        <sz val="9"/>
        <color rgb="FF5B6068"/>
        <rFont val="Noto Sans CJK SC"/>
        <family val="2"/>
      </rPr>
      <t xml:space="preserve">基準 </t>
    </r>
    <r>
      <rPr>
        <sz val="9"/>
        <color rgb="FF5B6068"/>
        <rFont val="Arial"/>
        <family val="0"/>
        <charset val="1"/>
      </rPr>
      <t xml:space="preserve">32.8 kg/m² </t>
    </r>
    <r>
      <rPr>
        <sz val="9"/>
        <color rgb="FF5B6068"/>
        <rFont val="Noto Sans CJK SC"/>
        <family val="2"/>
      </rPr>
      <t xml:space="preserve">為 </t>
    </r>
    <r>
      <rPr>
        <sz val="9"/>
        <color rgb="FF5B6068"/>
        <rFont val="Arial"/>
        <family val="0"/>
        <charset val="1"/>
      </rPr>
      <t xml:space="preserve">&lt;10 m </t>
    </r>
    <r>
      <rPr>
        <sz val="9"/>
        <color rgb="FF5B6068"/>
        <rFont val="Noto Sans CJK SC"/>
        <family val="2"/>
      </rPr>
      <t xml:space="preserve">跨、</t>
    </r>
    <r>
      <rPr>
        <sz val="9"/>
        <color rgb="FF5B6068"/>
        <rFont val="Arial"/>
        <family val="0"/>
        <charset val="1"/>
      </rPr>
      <t xml:space="preserve">5 m </t>
    </r>
    <r>
      <rPr>
        <sz val="9"/>
        <color rgb="FF5B6068"/>
        <rFont val="Noto Sans CJK SC"/>
        <family val="2"/>
      </rPr>
      <t xml:space="preserve">高；</t>
    </r>
    <r>
      <rPr>
        <sz val="9"/>
        <color rgb="FF5B6068"/>
        <rFont val="Arial"/>
        <family val="0"/>
        <charset val="1"/>
      </rPr>
      <t xml:space="preserve">58 m </t>
    </r>
    <r>
      <rPr>
        <sz val="9"/>
        <color rgb="FF5B6068"/>
        <rFont val="Noto Sans CJK SC"/>
        <family val="2"/>
      </rPr>
      <t xml:space="preserve">寬雙跨廠房經驗值 </t>
    </r>
    <r>
      <rPr>
        <sz val="9"/>
        <color rgb="FF5B6068"/>
        <rFont val="Arial"/>
        <family val="0"/>
        <charset val="1"/>
      </rPr>
      <t xml:space="preserve">50–60 kg/m²</t>
    </r>
  </si>
  <si>
    <t xml:space="preserve">MEZZ</t>
  </si>
  <si>
    <r>
      <rPr>
        <sz val="10"/>
        <color rgb="FF000000"/>
        <rFont val="Noto Sans CJK SC"/>
        <family val="2"/>
      </rPr>
      <t xml:space="preserve">夾層樓板（鋼承板＋</t>
    </r>
    <r>
      <rPr>
        <sz val="10"/>
        <color rgb="FF000000"/>
        <rFont val="Arial"/>
        <family val="0"/>
        <charset val="1"/>
      </rPr>
      <t xml:space="preserve">12 cm 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</si>
  <si>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Noto Sans CJK SC"/>
        <family val="2"/>
      </rPr>
      <t xml:space="preserve">含鋼承板、鋼筋網、混凝土；不含主梁（計入 </t>
    </r>
    <r>
      <rPr>
        <sz val="9"/>
        <color rgb="FF5B6068"/>
        <rFont val="Arial"/>
        <family val="0"/>
        <charset val="1"/>
      </rPr>
      <t xml:space="preserve">STL</t>
    </r>
    <r>
      <rPr>
        <sz val="9"/>
        <color rgb="FF5B6068"/>
        <rFont val="Noto Sans CJK SC"/>
        <family val="2"/>
      </rPr>
      <t xml:space="preserve">）</t>
    </r>
  </si>
  <si>
    <t xml:space="preserve">PAV</t>
  </si>
  <si>
    <r>
      <rPr>
        <sz val="10"/>
        <color rgb="FF000000"/>
        <rFont val="Noto Sans CJK SC"/>
        <family val="2"/>
      </rPr>
      <t xml:space="preserve">廠區道路／停車場：混凝土鋪面 </t>
    </r>
    <r>
      <rPr>
        <sz val="10"/>
        <color rgb="FF000000"/>
        <rFont val="Arial"/>
        <family val="0"/>
        <charset val="1"/>
      </rPr>
      <t xml:space="preserve">18 cm</t>
    </r>
  </si>
  <si>
    <r>
      <rPr>
        <sz val="9"/>
        <color rgb="FF5B6068"/>
        <rFont val="Arial"/>
        <family val="0"/>
        <charset val="1"/>
      </rPr>
      <t xml:space="preserve">CYPE UXC020 </t>
    </r>
    <r>
      <rPr>
        <sz val="9"/>
        <color rgb="FF5B6068"/>
        <rFont val="Noto Sans CJK SC"/>
        <family val="2"/>
      </rPr>
      <t xml:space="preserve">戶外連續混凝土鋪面約 ₲</t>
    </r>
    <r>
      <rPr>
        <sz val="9"/>
        <color rgb="FF5B6068"/>
        <rFont val="Arial"/>
        <family val="0"/>
        <charset val="1"/>
      </rPr>
      <t xml:space="preserve">250,000/m²</t>
    </r>
    <r>
      <rPr>
        <sz val="9"/>
        <color rgb="FF5B6068"/>
        <rFont val="Noto Sans CJK SC"/>
        <family val="2"/>
      </rPr>
      <t xml:space="preserve">；含級配底層</t>
    </r>
  </si>
  <si>
    <t xml:space="preserve">FEN</t>
  </si>
  <si>
    <r>
      <rPr>
        <sz val="10"/>
        <color rgb="FF000000"/>
        <rFont val="Noto Sans CJK SC"/>
        <family val="2"/>
      </rPr>
      <t xml:space="preserve">四周圍牆 </t>
    </r>
    <r>
      <rPr>
        <sz val="10"/>
        <color rgb="FF000000"/>
        <rFont val="Arial"/>
        <family val="0"/>
        <charset val="1"/>
      </rPr>
      <t xml:space="preserve">2.4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RC </t>
    </r>
    <r>
      <rPr>
        <sz val="10"/>
        <color rgb="FF000000"/>
        <rFont val="Noto Sans CJK SC"/>
        <family val="2"/>
      </rPr>
      <t xml:space="preserve">柱＋磚牆，</t>
    </r>
    <r>
      <rPr>
        <sz val="10"/>
        <color rgb="FF000000"/>
        <rFont val="Arial"/>
        <family val="0"/>
        <charset val="1"/>
      </rPr>
      <t xml:space="preserve">P0A30170</t>
    </r>
    <r>
      <rPr>
        <sz val="10"/>
        <color rgb="FF000000"/>
        <rFont val="Noto Sans CJK SC"/>
        <family val="2"/>
      </rPr>
      <t xml:space="preserve">）</t>
    </r>
  </si>
  <si>
    <t xml:space="preserve">USD/m</t>
  </si>
  <si>
    <r>
      <rPr>
        <sz val="9"/>
        <color rgb="FF5B6068"/>
        <rFont val="Arial"/>
        <family val="0"/>
        <charset val="1"/>
      </rPr>
      <t xml:space="preserve">RC </t>
    </r>
    <r>
      <rPr>
        <sz val="9"/>
        <color rgb="FF5B6068"/>
        <rFont val="Noto Sans CJK SC"/>
        <family val="2"/>
      </rPr>
      <t xml:space="preserve">柱 </t>
    </r>
    <r>
      <rPr>
        <sz val="9"/>
        <color rgb="FF5B6068"/>
        <rFont val="Arial"/>
        <family val="0"/>
        <charset val="1"/>
      </rPr>
      <t xml:space="preserve">@3 m + 15 cm </t>
    </r>
    <r>
      <rPr>
        <sz val="9"/>
        <color rgb="FF5B6068"/>
        <rFont val="Noto Sans CJK SC"/>
        <family val="2"/>
      </rPr>
      <t xml:space="preserve">磚牆 </t>
    </r>
    <r>
      <rPr>
        <sz val="9"/>
        <color rgb="FF5B6068"/>
        <rFont val="Arial"/>
        <family val="0"/>
        <charset val="1"/>
      </rPr>
      <t xml:space="preserve">+ </t>
    </r>
    <r>
      <rPr>
        <sz val="9"/>
        <color rgb="FF5B6068"/>
        <rFont val="Noto Sans CJK SC"/>
        <family val="2"/>
      </rPr>
      <t xml:space="preserve">粉刷 </t>
    </r>
    <r>
      <rPr>
        <sz val="9"/>
        <color rgb="FF5B6068"/>
        <rFont val="Arial"/>
        <family val="0"/>
        <charset val="1"/>
      </rPr>
      <t xml:space="preserve">+ </t>
    </r>
    <r>
      <rPr>
        <sz val="9"/>
        <color rgb="FF5B6068"/>
        <rFont val="Noto Sans CJK SC"/>
        <family val="2"/>
      </rPr>
      <t xml:space="preserve">基礎</t>
    </r>
  </si>
  <si>
    <t xml:space="preserve">ELEV</t>
  </si>
  <si>
    <r>
      <rPr>
        <sz val="10"/>
        <color rgb="FF000000"/>
        <rFont val="Noto Sans CJK SC"/>
        <family val="2"/>
      </rPr>
      <t xml:space="preserve">貨梯 </t>
    </r>
    <r>
      <rPr>
        <sz val="10"/>
        <color rgb="FF000000"/>
        <rFont val="Arial"/>
        <family val="0"/>
        <charset val="1"/>
      </rPr>
      <t xml:space="preserve">3,000 kg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站（進口＋安裝）</t>
    </r>
  </si>
  <si>
    <r>
      <rPr>
        <sz val="10"/>
        <color rgb="FF000000"/>
        <rFont val="Arial"/>
        <family val="0"/>
        <charset val="1"/>
      </rPr>
      <t xml:space="preserve">USD/</t>
    </r>
    <r>
      <rPr>
        <sz val="10"/>
        <color rgb="FF000000"/>
        <rFont val="Noto Sans CJK SC"/>
        <family val="2"/>
      </rPr>
      <t xml:space="preserve">台</t>
    </r>
  </si>
  <si>
    <r>
      <rPr>
        <sz val="9"/>
        <color rgb="FF5B6068"/>
        <rFont val="Noto Sans CJK SC"/>
        <family val="2"/>
      </rPr>
      <t xml:space="preserve">南美市場進口貨梯 </t>
    </r>
    <r>
      <rPr>
        <sz val="9"/>
        <color rgb="FF5B6068"/>
        <rFont val="Arial"/>
        <family val="0"/>
        <charset val="1"/>
      </rPr>
      <t xml:space="preserve">3 t 5 </t>
    </r>
    <r>
      <rPr>
        <sz val="9"/>
        <color rgb="FF5B6068"/>
        <rFont val="Noto Sans CJK SC"/>
        <family val="2"/>
      </rPr>
      <t xml:space="preserve">停行情 </t>
    </r>
    <r>
      <rPr>
        <sz val="9"/>
        <color rgb="FF5B6068"/>
        <rFont val="Arial"/>
        <family val="0"/>
        <charset val="1"/>
      </rPr>
      <t xml:space="preserve">USD 80–110k</t>
    </r>
  </si>
  <si>
    <t xml:space="preserve">RDOOR</t>
  </si>
  <si>
    <r>
      <rPr>
        <sz val="10"/>
        <color rgb="FF000000"/>
        <rFont val="Noto Sans CJK SC"/>
        <family val="2"/>
      </rPr>
      <t xml:space="preserve">鐵捲門＋小門（</t>
    </r>
    <r>
      <rPr>
        <sz val="10"/>
        <color rgb="FF000000"/>
        <rFont val="Arial"/>
        <family val="0"/>
        <charset val="1"/>
      </rPr>
      <t xml:space="preserve">4.5 × 4.5 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</si>
  <si>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USD/</t>
    </r>
    <r>
      <rPr>
        <sz val="10"/>
        <color rgb="FF000000"/>
        <rFont val="Noto Sans CJK SC"/>
        <family val="2"/>
      </rPr>
      <t xml:space="preserve">樘</t>
    </r>
  </si>
  <si>
    <t xml:space="preserve">當地行情</t>
  </si>
  <si>
    <t xml:space="preserve">FDOOR</t>
  </si>
  <si>
    <r>
      <rPr>
        <sz val="10"/>
        <color rgb="FF000000"/>
        <rFont val="Noto Sans CJK SC"/>
        <family val="2"/>
      </rPr>
      <t xml:space="preserve">快速捲門 </t>
    </r>
    <r>
      <rPr>
        <sz val="10"/>
        <color rgb="FF000000"/>
        <rFont val="Arial"/>
        <family val="0"/>
        <charset val="1"/>
      </rPr>
      <t xml:space="preserve">50–100 cm/s</t>
    </r>
    <r>
      <rPr>
        <sz val="10"/>
        <color rgb="FF000000"/>
        <rFont val="Noto Sans CJK SC"/>
        <family val="2"/>
      </rPr>
      <t xml:space="preserve">（進口，含互鎖控制）</t>
    </r>
  </si>
  <si>
    <r>
      <rPr>
        <sz val="9"/>
        <color rgb="FF5B6068"/>
        <rFont val="Arial"/>
        <family val="0"/>
        <charset val="1"/>
      </rPr>
      <t xml:space="preserve">9/4 </t>
    </r>
    <r>
      <rPr>
        <sz val="9"/>
        <color rgb="FF5B6068"/>
        <rFont val="Noto Sans CJK SC"/>
        <family val="2"/>
      </rPr>
      <t xml:space="preserve">回覆要求；進口 </t>
    </r>
    <r>
      <rPr>
        <sz val="9"/>
        <color rgb="FF5B6068"/>
        <rFont val="Arial"/>
        <family val="0"/>
        <charset val="1"/>
      </rPr>
      <t xml:space="preserve">PVC </t>
    </r>
    <r>
      <rPr>
        <sz val="9"/>
        <color rgb="FF5B6068"/>
        <rFont val="Noto Sans CJK SC"/>
        <family val="2"/>
      </rPr>
      <t xml:space="preserve">快速門行情</t>
    </r>
  </si>
  <si>
    <t xml:space="preserve">WC</t>
  </si>
  <si>
    <t xml:space="preserve">廁所（樓梯平台型，每處含衛生設備、給排水、貼磚）</t>
  </si>
  <si>
    <r>
      <rPr>
        <sz val="10"/>
        <color rgb="FF000000"/>
        <rFont val="Arial"/>
        <family val="0"/>
        <charset val="1"/>
      </rPr>
      <t xml:space="preserve">USD/</t>
    </r>
    <r>
      <rPr>
        <sz val="10"/>
        <color rgb="FF000000"/>
        <rFont val="Noto Sans CJK SC"/>
        <family val="2"/>
      </rPr>
      <t xml:space="preserve">處</t>
    </r>
  </si>
  <si>
    <t xml:space="preserve">ELEC</t>
  </si>
  <si>
    <t xml:space="preserve">建築用電（低壓配電盤、幹線、插座；不含製程配電）</t>
  </si>
  <si>
    <r>
      <rPr>
        <sz val="9"/>
        <color rgb="FF5B6068"/>
        <rFont val="Noto Sans CJK SC"/>
        <family val="2"/>
      </rPr>
      <t xml:space="preserve">工業廠房行情；</t>
    </r>
    <r>
      <rPr>
        <sz val="9"/>
        <color rgb="FF5B6068"/>
        <rFont val="Arial"/>
        <family val="0"/>
        <charset val="1"/>
      </rPr>
      <t xml:space="preserve">ACELON </t>
    </r>
    <r>
      <rPr>
        <sz val="9"/>
        <color rgb="FF5B6068"/>
        <rFont val="Noto Sans CJK SC"/>
        <family val="2"/>
      </rPr>
      <t xml:space="preserve">概算「水電」</t>
    </r>
    <r>
      <rPr>
        <sz val="9"/>
        <color rgb="FF5B6068"/>
        <rFont val="Arial"/>
        <family val="0"/>
        <charset val="1"/>
      </rPr>
      <t xml:space="preserve">NT$750/m² ≈ USD 23/m² </t>
    </r>
    <r>
      <rPr>
        <sz val="9"/>
        <color rgb="FF5B6068"/>
        <rFont val="Noto Sans CJK SC"/>
        <family val="2"/>
      </rPr>
      <t xml:space="preserve">明顯偏低</t>
    </r>
  </si>
  <si>
    <t xml:space="preserve">LIGHT</t>
  </si>
  <si>
    <r>
      <rPr>
        <sz val="10"/>
        <color rgb="FF000000"/>
        <rFont val="Noto Sans CJK SC"/>
        <family val="2"/>
      </rPr>
      <t xml:space="preserve">照明（</t>
    </r>
    <r>
      <rPr>
        <sz val="10"/>
        <color rgb="FF000000"/>
        <rFont val="Arial"/>
        <family val="0"/>
        <charset val="1"/>
      </rPr>
      <t xml:space="preserve">LED </t>
    </r>
    <r>
      <rPr>
        <sz val="10"/>
        <color rgb="FF000000"/>
        <rFont val="Noto Sans CJK SC"/>
        <family val="2"/>
      </rPr>
      <t xml:space="preserve">高天井燈、辦公照明、緊急照明）</t>
    </r>
  </si>
  <si>
    <t xml:space="preserve">TEL</t>
  </si>
  <si>
    <t xml:space="preserve">電信／弱電／監視及網路</t>
  </si>
  <si>
    <r>
      <rPr>
        <sz val="9"/>
        <color rgb="FF5B6068"/>
        <rFont val="Arial"/>
        <family val="0"/>
        <charset val="1"/>
      </rPr>
      <t xml:space="preserve">9/4 </t>
    </r>
    <r>
      <rPr>
        <sz val="9"/>
        <color rgb="FF5B6068"/>
        <rFont val="Noto Sans CJK SC"/>
        <family val="2"/>
      </rPr>
      <t xml:space="preserve">回覆要求「五大管線」含電信</t>
    </r>
  </si>
  <si>
    <t xml:space="preserve">PLB</t>
  </si>
  <si>
    <t xml:space="preserve">給排水（建築用；不含製程水）</t>
  </si>
  <si>
    <t xml:space="preserve">FIRE</t>
  </si>
  <si>
    <r>
      <rPr>
        <sz val="10"/>
        <color rgb="FF000000"/>
        <rFont val="Noto Sans CJK SC"/>
        <family val="2"/>
      </rPr>
      <t xml:space="preserve">消防（消防栓、灑水頭、警報、滅火器；依 </t>
    </r>
    <r>
      <rPr>
        <sz val="10"/>
        <color rgb="FF000000"/>
        <rFont val="Arial"/>
        <family val="0"/>
        <charset val="1"/>
      </rPr>
      <t xml:space="preserve">Bomberos </t>
    </r>
    <r>
      <rPr>
        <sz val="10"/>
        <color rgb="FF000000"/>
        <rFont val="Noto Sans CJK SC"/>
        <family val="2"/>
      </rPr>
      <t xml:space="preserve">規範）</t>
    </r>
  </si>
  <si>
    <r>
      <rPr>
        <sz val="9"/>
        <color rgb="FF5B6068"/>
        <rFont val="Arial"/>
        <family val="0"/>
        <charset val="1"/>
      </rPr>
      <t xml:space="preserve">ACELON </t>
    </r>
    <r>
      <rPr>
        <sz val="9"/>
        <color rgb="FF5B6068"/>
        <rFont val="Noto Sans CJK SC"/>
        <family val="2"/>
      </rPr>
      <t xml:space="preserve">概算 </t>
    </r>
    <r>
      <rPr>
        <sz val="9"/>
        <color rgb="FF5B6068"/>
        <rFont val="Arial"/>
        <family val="0"/>
        <charset val="1"/>
      </rPr>
      <t xml:space="preserve">NT$1,500/m² ≈ USD 47/m²</t>
    </r>
    <r>
      <rPr>
        <sz val="9"/>
        <color rgb="FF5B6068"/>
        <rFont val="Noto Sans CJK SC"/>
        <family val="2"/>
      </rPr>
      <t xml:space="preserve">；當地灑水系統行情 </t>
    </r>
    <r>
      <rPr>
        <sz val="9"/>
        <color rgb="FF5B6068"/>
        <rFont val="Arial"/>
        <family val="0"/>
        <charset val="1"/>
      </rPr>
      <t xml:space="preserve">USD 30–45/m²</t>
    </r>
  </si>
  <si>
    <t xml:space="preserve">VENT</t>
  </si>
  <si>
    <t xml:space="preserve">一般通風／排煙（不含製程空調）</t>
  </si>
  <si>
    <r>
      <rPr>
        <sz val="9"/>
        <color rgb="FF5B6068"/>
        <rFont val="Noto Sans CJK SC"/>
        <family val="2"/>
      </rPr>
      <t xml:space="preserve">製程空調由 </t>
    </r>
    <r>
      <rPr>
        <sz val="9"/>
        <color rgb="FF5B6068"/>
        <rFont val="Arial"/>
        <family val="0"/>
        <charset val="1"/>
      </rPr>
      <t xml:space="preserve">ACELON </t>
    </r>
    <r>
      <rPr>
        <sz val="9"/>
        <color rgb="FF5B6068"/>
        <rFont val="Noto Sans CJK SC"/>
        <family val="2"/>
      </rPr>
      <t xml:space="preserve">設備商負責，未計</t>
    </r>
  </si>
  <si>
    <t xml:space="preserve">TRAFO</t>
  </si>
  <si>
    <r>
      <rPr>
        <sz val="10"/>
        <color rgb="FF000000"/>
        <rFont val="Noto Sans CJK SC"/>
        <family val="2"/>
      </rPr>
      <t xml:space="preserve">變電站土建＋</t>
    </r>
    <r>
      <rPr>
        <sz val="10"/>
        <color rgb="FF000000"/>
        <rFont val="Arial"/>
        <family val="0"/>
        <charset val="1"/>
      </rPr>
      <t xml:space="preserve">MV </t>
    </r>
    <r>
      <rPr>
        <sz val="10"/>
        <color rgb="FF000000"/>
        <rFont val="Noto Sans CJK SC"/>
        <family val="2"/>
      </rPr>
      <t xml:space="preserve">開關設備＋變壓器 </t>
    </r>
    <r>
      <rPr>
        <sz val="10"/>
        <color rgb="FF000000"/>
        <rFont val="Arial"/>
        <family val="0"/>
        <charset val="1"/>
      </rPr>
      <t xml:space="preserve">2 × 2,000 kVA</t>
    </r>
    <r>
      <rPr>
        <sz val="10"/>
        <color rgb="FF000000"/>
        <rFont val="Noto Sans CJK SC"/>
        <family val="2"/>
      </rPr>
      <t xml:space="preserve">（不含 </t>
    </r>
    <r>
      <rPr>
        <sz val="10"/>
        <color rgb="FF000000"/>
        <rFont val="Arial"/>
        <family val="0"/>
        <charset val="1"/>
      </rPr>
      <t xml:space="preserve">ANDE </t>
    </r>
    <r>
      <rPr>
        <sz val="10"/>
        <color rgb="FF000000"/>
        <rFont val="Noto Sans CJK SC"/>
        <family val="2"/>
      </rPr>
      <t xml:space="preserve">線路分攤）</t>
    </r>
  </si>
  <si>
    <t xml:space="preserve">USD</t>
  </si>
  <si>
    <r>
      <rPr>
        <sz val="9"/>
        <color rgb="FF5B6068"/>
        <rFont val="Noto Sans CJK SC"/>
        <family val="2"/>
      </rPr>
      <t xml:space="preserve">依負載表待定（</t>
    </r>
    <r>
      <rPr>
        <sz val="9"/>
        <color rgb="FF5B6068"/>
        <rFont val="Arial"/>
        <family val="0"/>
        <charset val="1"/>
      </rPr>
      <t xml:space="preserve">RFI 28/29</t>
    </r>
    <r>
      <rPr>
        <sz val="9"/>
        <color rgb="FF5B6068"/>
        <rFont val="Noto Sans CJK SC"/>
        <family val="2"/>
      </rPr>
      <t xml:space="preserve">）；</t>
    </r>
    <r>
      <rPr>
        <sz val="9"/>
        <color rgb="FF5B6068"/>
        <rFont val="Arial"/>
        <family val="0"/>
        <charset val="1"/>
      </rPr>
      <t xml:space="preserve">23 kV </t>
    </r>
    <r>
      <rPr>
        <sz val="9"/>
        <color rgb="FF5B6068"/>
        <rFont val="Noto Sans CJK SC"/>
        <family val="2"/>
      </rPr>
      <t xml:space="preserve">進線由 </t>
    </r>
    <r>
      <rPr>
        <sz val="9"/>
        <color rgb="FF5B6068"/>
        <rFont val="Arial"/>
        <family val="0"/>
        <charset val="1"/>
      </rPr>
      <t xml:space="preserve">ANDE </t>
    </r>
    <r>
      <rPr>
        <sz val="9"/>
        <color rgb="FF5B6068"/>
        <rFont val="Noto Sans CJK SC"/>
        <family val="2"/>
      </rPr>
      <t xml:space="preserve">協商另計</t>
    </r>
  </si>
  <si>
    <t xml:space="preserve">GEN</t>
  </si>
  <si>
    <r>
      <rPr>
        <sz val="10"/>
        <color rgb="FF000000"/>
        <rFont val="Noto Sans CJK SC"/>
        <family val="2"/>
      </rPr>
      <t xml:space="preserve">緊急發電機 </t>
    </r>
    <r>
      <rPr>
        <sz val="10"/>
        <color rgb="FF000000"/>
        <rFont val="Arial"/>
        <family val="0"/>
        <charset val="1"/>
      </rPr>
      <t xml:space="preserve">800 kVA</t>
    </r>
    <r>
      <rPr>
        <sz val="10"/>
        <color rgb="FF000000"/>
        <rFont val="Noto Sans CJK SC"/>
        <family val="2"/>
      </rPr>
      <t xml:space="preserve">（含油箱、排氣、</t>
    </r>
    <r>
      <rPr>
        <sz val="10"/>
        <color rgb="FF000000"/>
        <rFont val="Arial"/>
        <family val="0"/>
        <charset val="1"/>
      </rPr>
      <t xml:space="preserve">ATS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</si>
  <si>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Noto Sans CJK SC"/>
        <family val="2"/>
      </rPr>
      <t xml:space="preserve">容量待確認（</t>
    </r>
    <r>
      <rPr>
        <sz val="9"/>
        <color rgb="FF5B6068"/>
        <rFont val="Arial"/>
        <family val="0"/>
        <charset val="1"/>
      </rPr>
      <t xml:space="preserve">RFI 29</t>
    </r>
    <r>
      <rPr>
        <sz val="9"/>
        <color rgb="FF5B6068"/>
        <rFont val="Noto Sans CJK SC"/>
        <family val="2"/>
      </rPr>
      <t xml:space="preserve">）</t>
    </r>
  </si>
  <si>
    <t xml:space="preserve">WB</t>
  </si>
  <si>
    <r>
      <rPr>
        <sz val="10"/>
        <color rgb="FF000000"/>
        <rFont val="Noto Sans CJK SC"/>
        <family val="2"/>
      </rPr>
      <t xml:space="preserve">地磅 </t>
    </r>
    <r>
      <rPr>
        <sz val="10"/>
        <color rgb="FF000000"/>
        <rFont val="Arial"/>
        <family val="0"/>
        <charset val="1"/>
      </rPr>
      <t xml:space="preserve">100 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m</t>
    </r>
    <r>
      <rPr>
        <sz val="10"/>
        <color rgb="FF000000"/>
        <rFont val="Noto Sans CJK SC"/>
        <family val="2"/>
      </rPr>
      <t xml:space="preserve">，含基礎、儀表）</t>
    </r>
  </si>
  <si>
    <t xml:space="preserve">TANK</t>
  </si>
  <si>
    <r>
      <rPr>
        <sz val="10"/>
        <color rgb="FF000000"/>
        <rFont val="Arial"/>
        <family val="0"/>
        <charset val="1"/>
      </rPr>
      <t xml:space="preserve">RC </t>
    </r>
    <r>
      <rPr>
        <sz val="10"/>
        <color rgb="FF000000"/>
        <rFont val="Noto Sans CJK SC"/>
        <family val="2"/>
      </rPr>
      <t xml:space="preserve">地下水池（每 </t>
    </r>
    <r>
      <rPr>
        <sz val="10"/>
        <color rgb="FF000000"/>
        <rFont val="Arial"/>
        <family val="0"/>
        <charset val="1"/>
      </rPr>
      <t xml:space="preserve">m³ </t>
    </r>
    <r>
      <rPr>
        <sz val="10"/>
        <color rgb="FF000000"/>
        <rFont val="Noto Sans CJK SC"/>
        <family val="2"/>
      </rPr>
      <t xml:space="preserve">容量，含防水、開挖）</t>
    </r>
  </si>
  <si>
    <r>
      <rPr>
        <sz val="9"/>
        <color rgb="FF5B6068"/>
        <rFont val="Arial"/>
        <family val="0"/>
        <charset val="1"/>
      </rPr>
      <t xml:space="preserve">CYPE </t>
    </r>
    <r>
      <rPr>
        <sz val="9"/>
        <color rgb="FF5B6068"/>
        <rFont val="Noto Sans CJK SC"/>
        <family val="2"/>
      </rPr>
      <t xml:space="preserve">擋土牆 ₲</t>
    </r>
    <r>
      <rPr>
        <sz val="9"/>
        <color rgb="FF5B6068"/>
        <rFont val="Arial"/>
        <family val="0"/>
        <charset val="1"/>
      </rPr>
      <t xml:space="preserve">1,217,589/m³ </t>
    </r>
    <r>
      <rPr>
        <sz val="9"/>
        <color rgb="FF5B6068"/>
        <rFont val="Noto Sans CJK SC"/>
        <family val="2"/>
      </rPr>
      <t xml:space="preserve">混凝土 </t>
    </r>
    <r>
      <rPr>
        <sz val="9"/>
        <color rgb="FF5B6068"/>
        <rFont val="Arial"/>
        <family val="0"/>
        <charset val="1"/>
      </rPr>
      <t xml:space="preserve">+ </t>
    </r>
    <r>
      <rPr>
        <sz val="9"/>
        <color rgb="FF5B6068"/>
        <rFont val="Noto Sans CJK SC"/>
        <family val="2"/>
      </rPr>
      <t xml:space="preserve">開挖 </t>
    </r>
    <r>
      <rPr>
        <sz val="9"/>
        <color rgb="FF5B6068"/>
        <rFont val="Arial"/>
        <family val="0"/>
        <charset val="1"/>
      </rPr>
      <t xml:space="preserve">+ </t>
    </r>
    <r>
      <rPr>
        <sz val="9"/>
        <color rgb="FF5B6068"/>
        <rFont val="Noto Sans CJK SC"/>
        <family val="2"/>
      </rPr>
      <t xml:space="preserve">防水；換算容量單價</t>
    </r>
  </si>
  <si>
    <t xml:space="preserve">WELL</t>
  </si>
  <si>
    <r>
      <rPr>
        <sz val="10"/>
        <color rgb="FF000000"/>
        <rFont val="Noto Sans CJK SC"/>
        <family val="2"/>
      </rPr>
      <t xml:space="preserve">深水井 </t>
    </r>
    <r>
      <rPr>
        <sz val="10"/>
        <color rgb="FF000000"/>
        <rFont val="Arial"/>
        <family val="0"/>
        <charset val="1"/>
      </rPr>
      <t xml:space="preserve">150 m</t>
    </r>
    <r>
      <rPr>
        <sz val="10"/>
        <color rgb="FF000000"/>
        <rFont val="Noto Sans CJK SC"/>
        <family val="2"/>
      </rPr>
      <t xml:space="preserve">（含泵、管路）</t>
    </r>
  </si>
  <si>
    <r>
      <rPr>
        <sz val="9"/>
        <color rgb="FF5B6068"/>
        <rFont val="Noto Sans CJK SC"/>
        <family val="2"/>
      </rPr>
      <t xml:space="preserve">當地行情（</t>
    </r>
    <r>
      <rPr>
        <sz val="9"/>
        <color rgb="FF5B6068"/>
        <rFont val="Arial"/>
        <family val="0"/>
        <charset val="1"/>
      </rPr>
      <t xml:space="preserve">Alto Paraná </t>
    </r>
    <r>
      <rPr>
        <sz val="9"/>
        <color rgb="FF5B6068"/>
        <rFont val="Noto Sans CJK SC"/>
        <family val="2"/>
      </rPr>
      <t xml:space="preserve">砂岩含水層）</t>
    </r>
  </si>
  <si>
    <t xml:space="preserve">PIPERACK</t>
  </si>
  <si>
    <r>
      <rPr>
        <sz val="10"/>
        <color rgb="FF000000"/>
        <rFont val="Noto Sans CJK SC"/>
        <family val="2"/>
      </rPr>
      <t xml:space="preserve">公用管架（鋼構 </t>
    </r>
    <r>
      <rPr>
        <sz val="10"/>
        <color rgb="FF000000"/>
        <rFont val="Arial"/>
        <family val="0"/>
        <charset val="1"/>
      </rPr>
      <t xml:space="preserve">3 m </t>
    </r>
    <r>
      <rPr>
        <sz val="10"/>
        <color rgb="FF000000"/>
        <rFont val="Noto Sans CJK SC"/>
        <family val="2"/>
      </rPr>
      <t xml:space="preserve">寬 </t>
    </r>
    <r>
      <rPr>
        <sz val="10"/>
        <color rgb="FF000000"/>
        <rFont val="Arial"/>
        <family val="0"/>
        <charset val="1"/>
      </rPr>
      <t xml:space="preserve">× 5 m </t>
    </r>
    <r>
      <rPr>
        <sz val="10"/>
        <color rgb="FF000000"/>
        <rFont val="Noto Sans CJK SC"/>
        <family val="2"/>
      </rPr>
      <t xml:space="preserve">高，每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含基礎）</t>
    </r>
  </si>
  <si>
    <r>
      <rPr>
        <sz val="9"/>
        <color rgb="FF5B6068"/>
        <rFont val="Noto Sans CJK SC"/>
        <family val="2"/>
      </rPr>
      <t xml:space="preserve">鋼構 </t>
    </r>
    <r>
      <rPr>
        <sz val="9"/>
        <color rgb="FF5B6068"/>
        <rFont val="Arial"/>
        <family val="0"/>
        <charset val="1"/>
      </rPr>
      <t xml:space="preserve">180 kg/m × STL + </t>
    </r>
    <r>
      <rPr>
        <sz val="9"/>
        <color rgb="FF5B6068"/>
        <rFont val="Noto Sans CJK SC"/>
        <family val="2"/>
      </rPr>
      <t xml:space="preserve">基礎</t>
    </r>
  </si>
  <si>
    <t xml:space="preserve">SITEL</t>
  </si>
  <si>
    <r>
      <rPr>
        <sz val="10"/>
        <color rgb="FF000000"/>
        <rFont val="Noto Sans CJK SC"/>
        <family val="2"/>
      </rPr>
      <t xml:space="preserve">廠區照明、雨水排水、汙水管線、綠化（每 </t>
    </r>
    <r>
      <rPr>
        <sz val="10"/>
        <color rgb="FF000000"/>
        <rFont val="Arial"/>
        <family val="0"/>
        <charset val="1"/>
      </rPr>
      <t xml:space="preserve">m² </t>
    </r>
    <r>
      <rPr>
        <sz val="10"/>
        <color rgb="FF000000"/>
        <rFont val="Noto Sans CJK SC"/>
        <family val="2"/>
      </rPr>
      <t xml:space="preserve">基地）</t>
    </r>
  </si>
  <si>
    <t xml:space="preserve">園區已提供給水／汙水／雨水系統，僅計廠內連接</t>
  </si>
  <si>
    <t xml:space="preserve">OHP</t>
  </si>
  <si>
    <r>
      <rPr>
        <sz val="10"/>
        <color rgb="FF000000"/>
        <rFont val="Noto Sans CJK SC"/>
        <family val="2"/>
      </rPr>
      <t xml:space="preserve">承包商管理費與利潤（</t>
    </r>
    <r>
      <rPr>
        <sz val="10"/>
        <color rgb="FF000000"/>
        <rFont val="Arial"/>
        <family val="0"/>
        <charset val="1"/>
      </rPr>
      <t xml:space="preserve">CYPE </t>
    </r>
    <r>
      <rPr>
        <sz val="10"/>
        <color rgb="FF000000"/>
        <rFont val="Noto Sans CJK SC"/>
        <family val="2"/>
      </rPr>
      <t xml:space="preserve">單價為直接成本）</t>
    </r>
  </si>
  <si>
    <t xml:space="preserve">%</t>
  </si>
  <si>
    <r>
      <rPr>
        <sz val="9"/>
        <color rgb="FF5B6068"/>
        <rFont val="Noto Sans CJK SC"/>
        <family val="2"/>
      </rPr>
      <t xml:space="preserve">巴拉圭總包行情 </t>
    </r>
    <r>
      <rPr>
        <sz val="9"/>
        <color rgb="FF5B6068"/>
        <rFont val="Arial"/>
        <family val="0"/>
        <charset val="1"/>
      </rPr>
      <t xml:space="preserve">12–16%</t>
    </r>
  </si>
  <si>
    <t xml:space="preserve">DSN</t>
  </si>
  <si>
    <r>
      <rPr>
        <sz val="10"/>
        <color rgb="FF000000"/>
        <rFont val="Noto Sans CJK SC"/>
        <family val="2"/>
      </rPr>
      <t xml:space="preserve">設計費（</t>
    </r>
    <r>
      <rPr>
        <sz val="10"/>
        <color rgb="FF000000"/>
        <rFont val="Arial"/>
        <family val="0"/>
        <charset val="1"/>
      </rPr>
      <t xml:space="preserve">Salum &amp; Wenz </t>
    </r>
    <r>
      <rPr>
        <sz val="10"/>
        <color rgb="FF000000"/>
        <rFont val="Noto Sans CJK SC"/>
        <family val="2"/>
      </rPr>
      <t xml:space="preserve">執行設計＋</t>
    </r>
    <r>
      <rPr>
        <sz val="10"/>
        <color rgb="FF000000"/>
        <rFont val="Arial"/>
        <family val="0"/>
        <charset val="1"/>
      </rPr>
      <t xml:space="preserve">BIM</t>
    </r>
    <r>
      <rPr>
        <sz val="10"/>
        <color rgb="FF000000"/>
        <rFont val="Noto Sans CJK SC"/>
        <family val="2"/>
      </rPr>
      <t xml:space="preserve">＋結構）</t>
    </r>
  </si>
  <si>
    <r>
      <rPr>
        <sz val="9"/>
        <color rgb="FF5B6068"/>
        <rFont val="Arial"/>
        <family val="0"/>
        <charset val="1"/>
      </rPr>
      <t xml:space="preserve">S&amp;W </t>
    </r>
    <r>
      <rPr>
        <sz val="9"/>
        <color rgb="FF5B6068"/>
        <rFont val="Noto Sans CJK SC"/>
        <family val="2"/>
      </rPr>
      <t xml:space="preserve">報價待定；中南美工業案 </t>
    </r>
    <r>
      <rPr>
        <sz val="9"/>
        <color rgb="FF5B6068"/>
        <rFont val="Arial"/>
        <family val="0"/>
        <charset val="1"/>
      </rPr>
      <t xml:space="preserve">4–5%</t>
    </r>
  </si>
  <si>
    <t xml:space="preserve">SUP</t>
  </si>
  <si>
    <r>
      <rPr>
        <sz val="9"/>
        <color rgb="FF5B6068"/>
        <rFont val="Arial"/>
        <family val="0"/>
        <charset val="1"/>
      </rPr>
      <t xml:space="preserve">ICDF</t>
    </r>
    <r>
      <rPr>
        <sz val="9"/>
        <color rgb="FF5B6068"/>
        <rFont val="Noto Sans CJK SC"/>
        <family val="2"/>
      </rPr>
      <t xml:space="preserve">／</t>
    </r>
    <r>
      <rPr>
        <sz val="9"/>
        <color rgb="FF5B6068"/>
        <rFont val="Arial"/>
        <family val="0"/>
        <charset val="1"/>
      </rPr>
      <t xml:space="preserve">PTITP </t>
    </r>
    <r>
      <rPr>
        <sz val="9"/>
        <color rgb="FF5B6068"/>
        <rFont val="Noto Sans CJK SC"/>
        <family val="2"/>
      </rPr>
      <t xml:space="preserve">經驗值</t>
    </r>
  </si>
  <si>
    <t xml:space="preserve">PERM</t>
  </si>
  <si>
    <r>
      <rPr>
        <sz val="10"/>
        <color rgb="FF000000"/>
        <rFont val="Noto Sans CJK SC"/>
        <family val="2"/>
      </rPr>
      <t xml:space="preserve">建照、</t>
    </r>
    <r>
      <rPr>
        <sz val="10"/>
        <color rgb="FF000000"/>
        <rFont val="Arial"/>
        <family val="0"/>
        <charset val="1"/>
      </rPr>
      <t xml:space="preserve">Minga Guazú </t>
    </r>
    <r>
      <rPr>
        <sz val="10"/>
        <color rgb="FF000000"/>
        <rFont val="Noto Sans CJK SC"/>
        <family val="2"/>
      </rPr>
      <t xml:space="preserve">市府規費、</t>
    </r>
    <r>
      <rPr>
        <sz val="10"/>
        <color rgb="FF000000"/>
        <rFont val="Arial"/>
        <family val="0"/>
        <charset val="1"/>
      </rPr>
      <t xml:space="preserve">MADES </t>
    </r>
    <r>
      <rPr>
        <sz val="10"/>
        <color rgb="FF000000"/>
        <rFont val="Noto Sans CJK SC"/>
        <family val="2"/>
      </rPr>
      <t xml:space="preserve">環評、</t>
    </r>
    <r>
      <rPr>
        <sz val="10"/>
        <color rgb="FF000000"/>
        <rFont val="Arial"/>
        <family val="0"/>
        <charset val="1"/>
      </rPr>
      <t xml:space="preserve">Bomberos </t>
    </r>
    <r>
      <rPr>
        <sz val="10"/>
        <color rgb="FF000000"/>
        <rFont val="Noto Sans CJK SC"/>
        <family val="2"/>
      </rPr>
      <t xml:space="preserve">審查</t>
    </r>
  </si>
  <si>
    <t xml:space="preserve">市府建照費依工程造價比例</t>
  </si>
  <si>
    <t xml:space="preserve">INS</t>
  </si>
  <si>
    <t xml:space="preserve">保險公司行情</t>
  </si>
  <si>
    <t xml:space="preserve">SOIL</t>
  </si>
  <si>
    <r>
      <rPr>
        <sz val="10"/>
        <color rgb="FF000000"/>
        <rFont val="Noto Sans CJK SC"/>
        <family val="2"/>
      </rPr>
      <t xml:space="preserve">地質鑽探與土壤試驗（</t>
    </r>
    <r>
      <rPr>
        <sz val="10"/>
        <color rgb="FF000000"/>
        <rFont val="Arial"/>
        <family val="0"/>
        <charset val="1"/>
      </rPr>
      <t xml:space="preserve">RFI 27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</si>
  <si>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Arial"/>
        <family val="0"/>
        <charset val="1"/>
      </rPr>
      <t xml:space="preserve">8 </t>
    </r>
    <r>
      <rPr>
        <sz val="9"/>
        <color rgb="FF5B6068"/>
        <rFont val="Noto Sans CJK SC"/>
        <family val="2"/>
      </rPr>
      <t xml:space="preserve">孔 </t>
    </r>
    <r>
      <rPr>
        <sz val="9"/>
        <color rgb="FF5B6068"/>
        <rFont val="Arial"/>
        <family val="0"/>
        <charset val="1"/>
      </rPr>
      <t xml:space="preserve">× 20 m + </t>
    </r>
    <r>
      <rPr>
        <sz val="9"/>
        <color rgb="FF5B6068"/>
        <rFont val="Noto Sans CJK SC"/>
        <family val="2"/>
      </rPr>
      <t xml:space="preserve">試驗</t>
    </r>
  </si>
  <si>
    <t xml:space="preserve">CONT</t>
  </si>
  <si>
    <t xml:space="preserve">工程預備費（設計深度：執行設計進行中）</t>
  </si>
  <si>
    <r>
      <rPr>
        <sz val="9"/>
        <color rgb="FF5B6068"/>
        <rFont val="Arial"/>
        <family val="0"/>
        <charset val="1"/>
      </rPr>
      <t xml:space="preserve">AACE Class 3 </t>
    </r>
    <r>
      <rPr>
        <sz val="9"/>
        <color rgb="FF5B6068"/>
        <rFont val="Noto Sans CJK SC"/>
        <family val="2"/>
      </rPr>
      <t xml:space="preserve">估算建議 </t>
    </r>
    <r>
      <rPr>
        <sz val="9"/>
        <color rgb="FF5B6068"/>
        <rFont val="Arial"/>
        <family val="0"/>
        <charset val="1"/>
      </rPr>
      <t xml:space="preserve">10–15%</t>
    </r>
  </si>
  <si>
    <t xml:space="preserve">IVA</t>
  </si>
  <si>
    <r>
      <rPr>
        <sz val="10"/>
        <color rgb="FF000000"/>
        <rFont val="Arial"/>
        <family val="0"/>
        <charset val="1"/>
      </rPr>
      <t xml:space="preserve">IVA </t>
    </r>
    <r>
      <rPr>
        <sz val="10"/>
        <color rgb="FF000000"/>
        <rFont val="Noto Sans CJK SC"/>
        <family val="2"/>
      </rPr>
      <t xml:space="preserve">加值稅（材料與勞務）</t>
    </r>
  </si>
  <si>
    <r>
      <rPr>
        <sz val="9"/>
        <color rgb="FF5B6068"/>
        <rFont val="Noto Sans CJK SC"/>
        <family val="2"/>
      </rPr>
      <t xml:space="preserve">巴拉圭 </t>
    </r>
    <r>
      <rPr>
        <sz val="9"/>
        <color rgb="FF5B6068"/>
        <rFont val="Arial"/>
        <family val="0"/>
        <charset val="1"/>
      </rPr>
      <t xml:space="preserve">IVA 10%</t>
    </r>
    <r>
      <rPr>
        <sz val="9"/>
        <color rgb="FF5B6068"/>
        <rFont val="Noto Sans CJK SC"/>
        <family val="2"/>
      </rPr>
      <t xml:space="preserve">；若採 </t>
    </r>
    <r>
      <rPr>
        <sz val="9"/>
        <color rgb="FF5B6068"/>
        <rFont val="Arial"/>
        <family val="0"/>
        <charset val="1"/>
      </rPr>
      <t xml:space="preserve">Maquila</t>
    </r>
    <r>
      <rPr>
        <sz val="9"/>
        <color rgb="FF5B6068"/>
        <rFont val="Noto Sans CJK SC"/>
        <family val="2"/>
      </rPr>
      <t xml:space="preserve">／</t>
    </r>
    <r>
      <rPr>
        <sz val="9"/>
        <color rgb="FF5B6068"/>
        <rFont val="Arial"/>
        <family val="0"/>
        <charset val="1"/>
      </rPr>
      <t xml:space="preserve">Ley 60/90 </t>
    </r>
    <r>
      <rPr>
        <sz val="9"/>
        <color rgb="FF5B6068"/>
        <rFont val="Noto Sans CJK SC"/>
        <family val="2"/>
      </rPr>
      <t xml:space="preserve">可申請進口設備免稅，營建勞務仍課 </t>
    </r>
    <r>
      <rPr>
        <sz val="9"/>
        <color rgb="FF5B6068"/>
        <rFont val="Arial"/>
        <family val="0"/>
        <charset val="1"/>
      </rPr>
      <t xml:space="preserve">10%</t>
    </r>
  </si>
  <si>
    <r>
      <rPr>
        <b val="true"/>
        <sz val="14"/>
        <color rgb="FF000000"/>
        <rFont val="Noto Sans CJK SC"/>
        <family val="2"/>
      </rPr>
      <t xml:space="preserve">原絲廠房 </t>
    </r>
    <r>
      <rPr>
        <b val="true"/>
        <sz val="14"/>
        <color rgb="FF000000"/>
        <rFont val="Arial"/>
        <family val="0"/>
        <charset val="1"/>
      </rPr>
      <t xml:space="preserve">Nave N — </t>
    </r>
    <r>
      <rPr>
        <b val="true"/>
        <sz val="14"/>
        <color rgb="FF000000"/>
        <rFont val="Noto Sans CJK SC"/>
        <family val="2"/>
      </rPr>
      <t xml:space="preserve">工程數量計算（來源：</t>
    </r>
    <r>
      <rPr>
        <b val="true"/>
        <sz val="14"/>
        <color rgb="FF000000"/>
        <rFont val="Arial"/>
        <family val="0"/>
        <charset val="1"/>
      </rPr>
      <t xml:space="preserve">Salum &amp; Wenz IFC 2026‑07‑31 </t>
    </r>
    <r>
      <rPr>
        <b val="true"/>
        <sz val="14"/>
        <color rgb="FF000000"/>
        <rFont val="Noto Sans CJK SC"/>
        <family val="2"/>
      </rPr>
      <t xml:space="preserve">幾何體積 ＋ </t>
    </r>
    <r>
      <rPr>
        <b val="true"/>
        <sz val="14"/>
        <color rgb="FF000000"/>
        <rFont val="Arial"/>
        <family val="0"/>
        <charset val="1"/>
      </rPr>
      <t xml:space="preserve">9/4 </t>
    </r>
    <r>
      <rPr>
        <b val="true"/>
        <sz val="14"/>
        <color rgb="FF000000"/>
        <rFont val="Noto Sans CJK SC"/>
        <family val="2"/>
      </rPr>
      <t xml:space="preserve">回覆之外殼規格）</t>
    </r>
  </si>
  <si>
    <r>
      <rPr>
        <i val="true"/>
        <sz val="10"/>
        <color rgb="FF5B6068"/>
        <rFont val="Noto Sans CJK SC"/>
        <family val="2"/>
      </rPr>
      <t xml:space="preserve">混凝土體積直接由 </t>
    </r>
    <r>
      <rPr>
        <i val="true"/>
        <sz val="10"/>
        <color rgb="FF5B6068"/>
        <rFont val="Arial"/>
        <family val="0"/>
        <charset val="1"/>
      </rPr>
      <t xml:space="preserve">IFC </t>
    </r>
    <r>
      <rPr>
        <i val="true"/>
        <sz val="10"/>
        <color rgb="FF5B6068"/>
        <rFont val="Noto Sans CJK SC"/>
        <family val="2"/>
      </rPr>
      <t xml:space="preserve">實體量得；鋼筋量以含鋼率估計；模板以構件表面積估計。藍字為假設係數。</t>
    </r>
  </si>
  <si>
    <t xml:space="preserve">樓層</t>
  </si>
  <si>
    <t xml:space="preserve">構件</t>
  </si>
  <si>
    <r>
      <rPr>
        <b val="true"/>
        <sz val="10"/>
        <color rgb="FFFFFFFF"/>
        <rFont val="Arial"/>
        <family val="0"/>
        <charset val="1"/>
      </rPr>
      <t xml:space="preserve">IFC </t>
    </r>
    <r>
      <rPr>
        <b val="true"/>
        <sz val="10"/>
        <color rgb="FFFFFFFF"/>
        <rFont val="Noto Sans CJK SC"/>
        <family val="2"/>
      </rPr>
      <t xml:space="preserve">數量</t>
    </r>
  </si>
  <si>
    <r>
      <rPr>
        <b val="true"/>
        <sz val="10"/>
        <color rgb="FFFFFFFF"/>
        <rFont val="Noto Sans CJK SC"/>
        <family val="2"/>
      </rPr>
      <t xml:space="preserve">混凝土 </t>
    </r>
    <r>
      <rPr>
        <b val="true"/>
        <sz val="10"/>
        <color rgb="FFFFFFFF"/>
        <rFont val="Arial"/>
        <family val="0"/>
        <charset val="1"/>
      </rPr>
      <t xml:space="preserve">m³</t>
    </r>
  </si>
  <si>
    <r>
      <rPr>
        <b val="true"/>
        <sz val="10"/>
        <color rgb="FFFFFFFF"/>
        <rFont val="Noto Sans CJK SC"/>
        <family val="2"/>
      </rPr>
      <t xml:space="preserve">表面積 </t>
    </r>
    <r>
      <rPr>
        <b val="true"/>
        <sz val="10"/>
        <color rgb="FFFFFFFF"/>
        <rFont val="Arial"/>
        <family val="0"/>
        <charset val="1"/>
      </rPr>
      <t xml:space="preserve">m²</t>
    </r>
  </si>
  <si>
    <r>
      <rPr>
        <b val="true"/>
        <sz val="10"/>
        <color rgb="FFFFFFFF"/>
        <rFont val="Noto Sans CJK SC"/>
        <family val="2"/>
      </rPr>
      <t xml:space="preserve">含鋼率 </t>
    </r>
    <r>
      <rPr>
        <b val="true"/>
        <sz val="10"/>
        <color rgb="FFFFFFFF"/>
        <rFont val="Arial"/>
        <family val="0"/>
        <charset val="1"/>
      </rPr>
      <t xml:space="preserve">kg/m³</t>
    </r>
  </si>
  <si>
    <r>
      <rPr>
        <b val="true"/>
        <sz val="10"/>
        <color rgb="FFFFFFFF"/>
        <rFont val="Noto Sans CJK SC"/>
        <family val="2"/>
      </rPr>
      <t xml:space="preserve">鋼筋 </t>
    </r>
    <r>
      <rPr>
        <b val="true"/>
        <sz val="10"/>
        <color rgb="FFFFFFFF"/>
        <rFont val="Arial"/>
        <family val="0"/>
        <charset val="1"/>
      </rPr>
      <t xml:space="preserve">kg</t>
    </r>
  </si>
  <si>
    <t xml:space="preserve">模板係數</t>
  </si>
  <si>
    <r>
      <rPr>
        <b val="true"/>
        <sz val="10"/>
        <color rgb="FFFFFFFF"/>
        <rFont val="Noto Sans CJK SC"/>
        <family val="2"/>
      </rPr>
      <t xml:space="preserve">模板 </t>
    </r>
    <r>
      <rPr>
        <b val="true"/>
        <sz val="10"/>
        <color rgb="FFFFFFFF"/>
        <rFont val="Arial"/>
        <family val="0"/>
        <charset val="1"/>
      </rPr>
      <t xml:space="preserve">m²</t>
    </r>
  </si>
  <si>
    <t xml:space="preserve">Fundacion</t>
  </si>
  <si>
    <t xml:space="preserve">柱</t>
  </si>
  <si>
    <r>
      <rPr>
        <sz val="9"/>
        <color rgb="FF5B6068"/>
        <rFont val="Arial"/>
        <family val="0"/>
        <charset val="1"/>
      </rPr>
      <t xml:space="preserve">IFC </t>
    </r>
    <r>
      <rPr>
        <sz val="9"/>
        <color rgb="FF5B6068"/>
        <rFont val="Noto Sans CJK SC"/>
        <family val="2"/>
      </rPr>
      <t xml:space="preserve">實體體積</t>
    </r>
  </si>
  <si>
    <t xml:space="preserve">樑</t>
  </si>
  <si>
    <t xml:space="preserve">樓板</t>
  </si>
  <si>
    <t xml:space="preserve">GL+200(1FL)</t>
  </si>
  <si>
    <r>
      <rPr>
        <sz val="9"/>
        <color rgb="FF5B6068"/>
        <rFont val="Arial"/>
        <family val="0"/>
        <charset val="1"/>
      </rPr>
      <t xml:space="preserve">IFC </t>
    </r>
    <r>
      <rPr>
        <sz val="9"/>
        <color rgb="FF5B6068"/>
        <rFont val="Noto Sans CJK SC"/>
        <family val="2"/>
      </rPr>
      <t xml:space="preserve">實體體積（部分構件以外框估算）</t>
    </r>
  </si>
  <si>
    <r>
      <rPr>
        <sz val="10"/>
        <color rgb="FF000000"/>
        <rFont val="Arial"/>
        <family val="0"/>
        <charset val="1"/>
      </rPr>
      <t xml:space="preserve">RC </t>
    </r>
    <r>
      <rPr>
        <sz val="10"/>
        <color rgb="FF000000"/>
        <rFont val="Noto Sans CJK SC"/>
        <family val="2"/>
      </rPr>
      <t xml:space="preserve">牆（樓梯間）</t>
    </r>
  </si>
  <si>
    <t xml:space="preserve">樓梯</t>
  </si>
  <si>
    <t xml:space="preserve">GL+3700(1.5FL)</t>
  </si>
  <si>
    <t xml:space="preserve">GL+7200(2FL)</t>
  </si>
  <si>
    <t xml:space="preserve">GL+11200(3FL)</t>
  </si>
  <si>
    <t xml:space="preserve">GL+15200(4FL)</t>
  </si>
  <si>
    <t xml:space="preserve">GL+21200</t>
  </si>
  <si>
    <r>
      <rPr>
        <sz val="9"/>
        <color rgb="FF5B6068"/>
        <rFont val="Noto Sans CJK SC"/>
        <family val="2"/>
      </rPr>
      <t xml:space="preserve">屋架樑（</t>
    </r>
    <r>
      <rPr>
        <sz val="9"/>
        <color rgb="FF5B6068"/>
        <rFont val="Arial"/>
        <family val="0"/>
        <charset val="1"/>
      </rPr>
      <t xml:space="preserve">IFC </t>
    </r>
    <r>
      <rPr>
        <sz val="9"/>
        <color rgb="FF5B6068"/>
        <rFont val="Noto Sans CJK SC"/>
        <family val="2"/>
      </rPr>
      <t xml:space="preserve">體積極小，視為鋼構桁條，計入屋頂項）</t>
    </r>
  </si>
  <si>
    <r>
      <rPr>
        <sz val="9"/>
        <color rgb="FF5B6068"/>
        <rFont val="Noto Sans CJK SC"/>
        <family val="2"/>
      </rPr>
      <t xml:space="preserve">屋頂層板：</t>
    </r>
    <r>
      <rPr>
        <sz val="9"/>
        <color rgb="FF5B6068"/>
        <rFont val="Arial"/>
        <family val="0"/>
        <charset val="1"/>
      </rPr>
      <t xml:space="preserve">IFC </t>
    </r>
    <r>
      <rPr>
        <sz val="9"/>
        <color rgb="FF5B6068"/>
        <rFont val="Noto Sans CJK SC"/>
        <family val="2"/>
      </rPr>
      <t xml:space="preserve">中為薄板（</t>
    </r>
    <r>
      <rPr>
        <sz val="9"/>
        <color rgb="FF5B6068"/>
        <rFont val="Arial"/>
        <family val="0"/>
        <charset val="1"/>
      </rPr>
      <t xml:space="preserve">Zincalum </t>
    </r>
    <r>
      <rPr>
        <sz val="9"/>
        <color rgb="FF5B6068"/>
        <rFont val="Noto Sans CJK SC"/>
        <family val="2"/>
      </rPr>
      <t xml:space="preserve">屋面示意），不計混凝土</t>
    </r>
  </si>
  <si>
    <t xml:space="preserve">GL+23200</t>
  </si>
  <si>
    <r>
      <rPr>
        <b val="true"/>
        <sz val="10"/>
        <color rgb="FF000000"/>
        <rFont val="Arial"/>
        <family val="0"/>
        <charset val="1"/>
      </rPr>
      <t xml:space="preserve">IFC </t>
    </r>
    <r>
      <rPr>
        <b val="true"/>
        <sz val="10"/>
        <color rgb="FF000000"/>
        <rFont val="Noto Sans CJK SC"/>
        <family val="2"/>
      </rPr>
      <t xml:space="preserve">結構合計</t>
    </r>
  </si>
  <si>
    <r>
      <rPr>
        <b val="true"/>
        <sz val="11"/>
        <color rgb="FF000000"/>
        <rFont val="Noto Sans CJK SC"/>
        <family val="2"/>
      </rPr>
      <t xml:space="preserve">補充數量（</t>
    </r>
    <r>
      <rPr>
        <b val="true"/>
        <sz val="11"/>
        <color rgb="FF000000"/>
        <rFont val="Arial"/>
        <family val="0"/>
        <charset val="1"/>
      </rPr>
      <t xml:space="preserve">IFC </t>
    </r>
    <r>
      <rPr>
        <b val="true"/>
        <sz val="11"/>
        <color rgb="FF000000"/>
        <rFont val="Noto Sans CJK SC"/>
        <family val="2"/>
      </rPr>
      <t xml:space="preserve">未含，依圖說與 </t>
    </r>
    <r>
      <rPr>
        <b val="true"/>
        <sz val="11"/>
        <color rgb="FF000000"/>
        <rFont val="Arial"/>
        <family val="0"/>
        <charset val="1"/>
      </rPr>
      <t xml:space="preserve">9/4 </t>
    </r>
    <r>
      <rPr>
        <b val="true"/>
        <sz val="11"/>
        <color rgb="FF000000"/>
        <rFont val="Noto Sans CJK SC"/>
        <family val="2"/>
      </rPr>
      <t xml:space="preserve">回覆）</t>
    </r>
  </si>
  <si>
    <r>
      <rPr>
        <b val="true"/>
        <sz val="10"/>
        <color rgb="FFFFFFFF"/>
        <rFont val="Noto Sans CJK SC"/>
        <family val="2"/>
      </rPr>
      <t xml:space="preserve">計算式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依據</t>
    </r>
  </si>
  <si>
    <t xml:space="preserve">FOOT</t>
  </si>
  <si>
    <r>
      <rPr>
        <sz val="10"/>
        <color rgb="FF000000"/>
        <rFont val="Noto Sans CJK SC"/>
        <family val="2"/>
      </rPr>
      <t xml:space="preserve">基礎版擴大（</t>
    </r>
    <r>
      <rPr>
        <sz val="10"/>
        <color rgb="FF000000"/>
        <rFont val="Arial"/>
        <family val="0"/>
        <charset val="1"/>
      </rPr>
      <t xml:space="preserve">IFC </t>
    </r>
    <r>
      <rPr>
        <sz val="10"/>
        <color rgb="FF000000"/>
        <rFont val="Noto Sans CJK SC"/>
        <family val="2"/>
      </rPr>
      <t xml:space="preserve">基礎為示意，深度待地質鑽探）：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座 </t>
    </r>
    <r>
      <rPr>
        <sz val="10"/>
        <color rgb="FF000000"/>
        <rFont val="Arial"/>
        <family val="0"/>
        <charset val="1"/>
      </rPr>
      <t xml:space="preserve">× 3.5×3.5×0.9 m</t>
    </r>
  </si>
  <si>
    <t xml:space="preserve">m³</t>
  </si>
  <si>
    <r>
      <rPr>
        <sz val="9"/>
        <color rgb="FF5B6068"/>
        <rFont val="Arial"/>
        <family val="0"/>
        <charset val="1"/>
      </rPr>
      <t xml:space="preserve">RFI 27</t>
    </r>
    <r>
      <rPr>
        <sz val="9"/>
        <color rgb="FF5B6068"/>
        <rFont val="Noto Sans CJK SC"/>
        <family val="2"/>
      </rPr>
      <t xml:space="preserve">：基礎深度由建築師依鑽探定；</t>
    </r>
    <r>
      <rPr>
        <sz val="9"/>
        <color rgb="FF5B6068"/>
        <rFont val="Arial"/>
        <family val="0"/>
        <charset val="1"/>
      </rPr>
      <t xml:space="preserve">4 </t>
    </r>
    <r>
      <rPr>
        <sz val="9"/>
        <color rgb="FF5B6068"/>
        <rFont val="Noto Sans CJK SC"/>
        <family val="2"/>
      </rPr>
      <t xml:space="preserve">層 </t>
    </r>
    <r>
      <rPr>
        <sz val="9"/>
        <color rgb="FF5B6068"/>
        <rFont val="Arial"/>
        <family val="0"/>
        <charset val="1"/>
      </rPr>
      <t xml:space="preserve">RC </t>
    </r>
    <r>
      <rPr>
        <sz val="9"/>
        <color rgb="FF5B6068"/>
        <rFont val="Noto Sans CJK SC"/>
        <family val="2"/>
      </rPr>
      <t xml:space="preserve">廠房、樓板荷重 </t>
    </r>
    <r>
      <rPr>
        <sz val="9"/>
        <color rgb="FF5B6068"/>
        <rFont val="Arial"/>
        <family val="0"/>
        <charset val="1"/>
      </rPr>
      <t xml:space="preserve">1,000 kg/m² </t>
    </r>
    <r>
      <rPr>
        <sz val="9"/>
        <color rgb="FF5B6068"/>
        <rFont val="Noto Sans CJK SC"/>
        <family val="2"/>
      </rPr>
      <t xml:space="preserve">與 </t>
    </r>
    <r>
      <rPr>
        <sz val="9"/>
        <color rgb="FF5B6068"/>
        <rFont val="Arial"/>
        <family val="0"/>
        <charset val="1"/>
      </rPr>
      <t xml:space="preserve">9,500 kg/</t>
    </r>
    <r>
      <rPr>
        <sz val="9"/>
        <color rgb="FF5B6068"/>
        <rFont val="Noto Sans CJK SC"/>
        <family val="2"/>
      </rPr>
      <t xml:space="preserve">區估算</t>
    </r>
  </si>
  <si>
    <t xml:space="preserve">EXCV</t>
  </si>
  <si>
    <r>
      <rPr>
        <sz val="10"/>
        <color rgb="FF000000"/>
        <rFont val="Noto Sans CJK SC"/>
        <family val="2"/>
      </rPr>
      <t xml:space="preserve">基礎與地下風道開挖（含工作面 </t>
    </r>
    <r>
      <rPr>
        <sz val="10"/>
        <color rgb="FF000000"/>
        <rFont val="Arial"/>
        <family val="0"/>
        <charset val="1"/>
      </rPr>
      <t xml:space="preserve">1 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</si>
  <si>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Noto Sans CJK SC"/>
        <family val="2"/>
      </rPr>
      <t xml:space="preserve">基礎坑 </t>
    </r>
    <r>
      <rPr>
        <sz val="9"/>
        <color rgb="FF5B6068"/>
        <rFont val="Arial"/>
        <family val="0"/>
        <charset val="1"/>
      </rPr>
      <t xml:space="preserve">30 </t>
    </r>
    <r>
      <rPr>
        <sz val="9"/>
        <color rgb="FF5B6068"/>
        <rFont val="Noto Sans CJK SC"/>
        <family val="2"/>
      </rPr>
      <t xml:space="preserve">座 </t>
    </r>
    <r>
      <rPr>
        <sz val="9"/>
        <color rgb="FF5B6068"/>
        <rFont val="Arial"/>
        <family val="0"/>
        <charset val="1"/>
      </rPr>
      <t xml:space="preserve">+ </t>
    </r>
    <r>
      <rPr>
        <sz val="9"/>
        <color rgb="FF5B6068"/>
        <rFont val="Noto Sans CJK SC"/>
        <family val="2"/>
      </rPr>
      <t xml:space="preserve">風道溝 </t>
    </r>
    <r>
      <rPr>
        <sz val="9"/>
        <color rgb="FF5B6068"/>
        <rFont val="Arial"/>
        <family val="0"/>
        <charset val="1"/>
      </rPr>
      <t xml:space="preserve">560 m² × 3 m </t>
    </r>
    <r>
      <rPr>
        <sz val="9"/>
        <color rgb="FF5B6068"/>
        <rFont val="Noto Sans CJK SC"/>
        <family val="2"/>
      </rPr>
      <t xml:space="preserve">深</t>
    </r>
  </si>
  <si>
    <t xml:space="preserve">DUCT</t>
  </si>
  <si>
    <r>
      <rPr>
        <sz val="10"/>
        <color rgb="FF000000"/>
        <rFont val="Noto Sans CJK SC"/>
        <family val="2"/>
      </rPr>
      <t xml:space="preserve">地下風道 </t>
    </r>
    <r>
      <rPr>
        <sz val="10"/>
        <color rgb="FF000000"/>
        <rFont val="Arial"/>
        <family val="0"/>
        <charset val="1"/>
      </rPr>
      <t xml:space="preserve">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9/4 </t>
    </r>
    <r>
      <rPr>
        <sz val="10"/>
        <color rgb="FF000000"/>
        <rFont val="Noto Sans CJK SC"/>
        <family val="2"/>
      </rPr>
      <t xml:space="preserve">回覆：</t>
    </r>
    <r>
      <rPr>
        <sz val="10"/>
        <color rgb="FF000000"/>
        <rFont val="Arial"/>
        <family val="0"/>
        <charset val="1"/>
      </rPr>
      <t xml:space="preserve">RC </t>
    </r>
    <r>
      <rPr>
        <sz val="10"/>
        <color rgb="FF000000"/>
        <rFont val="Noto Sans CJK SC"/>
        <family val="2"/>
      </rPr>
      <t xml:space="preserve">製造，兩道連通）：牆＋底板＋頂板</t>
    </r>
  </si>
  <si>
    <r>
      <rPr>
        <sz val="9"/>
        <color rgb="FF5B6068"/>
        <rFont val="Arial"/>
        <family val="0"/>
        <charset val="1"/>
      </rPr>
      <t xml:space="preserve">IFC </t>
    </r>
    <r>
      <rPr>
        <sz val="9"/>
        <color rgb="FF5B6068"/>
        <rFont val="Noto Sans CJK SC"/>
        <family val="2"/>
      </rPr>
      <t xml:space="preserve">風道實體表面積 </t>
    </r>
    <r>
      <rPr>
        <sz val="9"/>
        <color rgb="FF5B6068"/>
        <rFont val="Arial"/>
        <family val="0"/>
        <charset val="1"/>
      </rPr>
      <t xml:space="preserve">769 + 571 m² × </t>
    </r>
    <r>
      <rPr>
        <sz val="9"/>
        <color rgb="FF5B6068"/>
        <rFont val="Noto Sans CJK SC"/>
        <family val="2"/>
      </rPr>
      <t xml:space="preserve">厚 </t>
    </r>
    <r>
      <rPr>
        <sz val="9"/>
        <color rgb="FF5B6068"/>
        <rFont val="Arial"/>
        <family val="0"/>
        <charset val="1"/>
      </rPr>
      <t xml:space="preserve">25 cm</t>
    </r>
  </si>
  <si>
    <t xml:space="preserve">DUCTF</t>
  </si>
  <si>
    <t xml:space="preserve">地下風道模板</t>
  </si>
  <si>
    <t xml:space="preserve">m²</t>
  </si>
  <si>
    <t xml:space="preserve">內外側模板</t>
  </si>
  <si>
    <t xml:space="preserve">SOGA</t>
  </si>
  <si>
    <r>
      <rPr>
        <sz val="10"/>
        <color rgb="FF000000"/>
        <rFont val="Arial"/>
        <family val="0"/>
        <charset val="1"/>
      </rPr>
      <t xml:space="preserve">1F </t>
    </r>
    <r>
      <rPr>
        <sz val="10"/>
        <color rgb="FF000000"/>
        <rFont val="Noto Sans CJK SC"/>
        <family val="2"/>
      </rPr>
      <t xml:space="preserve">工業地坪面積</t>
    </r>
  </si>
  <si>
    <r>
      <rPr>
        <sz val="9"/>
        <color rgb="FF5B6068"/>
        <rFont val="Noto Sans CJK SC"/>
        <family val="2"/>
      </rPr>
      <t xml:space="preserve">建築外框（</t>
    </r>
    <r>
      <rPr>
        <sz val="9"/>
        <color rgb="FF5B6068"/>
        <rFont val="Arial"/>
        <family val="0"/>
        <charset val="1"/>
      </rPr>
      <t xml:space="preserve">IFC 1F </t>
    </r>
    <r>
      <rPr>
        <sz val="9"/>
        <color rgb="FF5B6068"/>
        <rFont val="Noto Sans CJK SC"/>
        <family val="2"/>
      </rPr>
      <t xml:space="preserve">樓板為地坪，混凝土已計於結構；此處計硬化面層與切縫）</t>
    </r>
  </si>
  <si>
    <t xml:space="preserve">PERIM</t>
  </si>
  <si>
    <t xml:space="preserve">建築周長</t>
  </si>
  <si>
    <t xml:space="preserve">m</t>
  </si>
  <si>
    <r>
      <rPr>
        <sz val="9"/>
        <color rgb="FF5B6068"/>
        <rFont val="Arial"/>
        <family val="0"/>
        <charset val="1"/>
      </rPr>
      <t xml:space="preserve">P0A30011 </t>
    </r>
    <r>
      <rPr>
        <sz val="9"/>
        <color rgb="FF5B6068"/>
        <rFont val="Noto Sans CJK SC"/>
        <family val="2"/>
      </rPr>
      <t xml:space="preserve">外框 </t>
    </r>
    <r>
      <rPr>
        <sz val="9"/>
        <color rgb="FF5B6068"/>
        <rFont val="Arial"/>
        <family val="0"/>
        <charset val="1"/>
      </rPr>
      <t xml:space="preserve">23.2 × 73.4 m</t>
    </r>
  </si>
  <si>
    <t xml:space="preserve">RCWA</t>
  </si>
  <si>
    <r>
      <rPr>
        <sz val="10"/>
        <color rgb="FF000000"/>
        <rFont val="Arial"/>
        <family val="0"/>
        <charset val="1"/>
      </rPr>
      <t xml:space="preserve">1–3F RC </t>
    </r>
    <r>
      <rPr>
        <sz val="10"/>
        <color rgb="FF000000"/>
        <rFont val="Noto Sans CJK SC"/>
        <family val="2"/>
      </rPr>
      <t xml:space="preserve">外牆面積（</t>
    </r>
    <r>
      <rPr>
        <sz val="10"/>
        <color rgb="FF000000"/>
        <rFont val="Arial"/>
        <family val="0"/>
        <charset val="1"/>
      </rPr>
      <t xml:space="preserve">9/4 </t>
    </r>
    <r>
      <rPr>
        <sz val="10"/>
        <color rgb="FF000000"/>
        <rFont val="Noto Sans CJK SC"/>
        <family val="2"/>
      </rPr>
      <t xml:space="preserve">回覆：不可用空心磚）</t>
    </r>
  </si>
  <si>
    <r>
      <rPr>
        <sz val="9"/>
        <color rgb="FF5B6068"/>
        <rFont val="Noto Sans CJK SC"/>
        <family val="2"/>
      </rPr>
      <t xml:space="preserve">周長 </t>
    </r>
    <r>
      <rPr>
        <sz val="9"/>
        <color rgb="FF5B6068"/>
        <rFont val="Arial"/>
        <family val="0"/>
        <charset val="1"/>
      </rPr>
      <t xml:space="preserve">× 15.2 m</t>
    </r>
    <r>
      <rPr>
        <sz val="9"/>
        <color rgb="FF5B6068"/>
        <rFont val="Noto Sans CJK SC"/>
        <family val="2"/>
      </rPr>
      <t xml:space="preserve">（</t>
    </r>
    <r>
      <rPr>
        <sz val="9"/>
        <color rgb="FF5B6068"/>
        <rFont val="Arial"/>
        <family val="0"/>
        <charset val="1"/>
      </rPr>
      <t xml:space="preserve">GL </t>
    </r>
    <r>
      <rPr>
        <sz val="9"/>
        <color rgb="FF5B6068"/>
        <rFont val="Noto Sans CJK SC"/>
        <family val="2"/>
      </rPr>
      <t xml:space="preserve">至 </t>
    </r>
    <r>
      <rPr>
        <sz val="9"/>
        <color rgb="FF5B6068"/>
        <rFont val="Arial"/>
        <family val="0"/>
        <charset val="1"/>
      </rPr>
      <t xml:space="preserve">4F </t>
    </r>
    <r>
      <rPr>
        <sz val="9"/>
        <color rgb="FF5B6068"/>
        <rFont val="Noto Sans CJK SC"/>
        <family val="2"/>
      </rPr>
      <t xml:space="preserve">樓板）</t>
    </r>
    <r>
      <rPr>
        <sz val="9"/>
        <color rgb="FF5B6068"/>
        <rFont val="Arial"/>
        <family val="0"/>
        <charset val="1"/>
      </rPr>
      <t xml:space="preserve">× 0.88</t>
    </r>
    <r>
      <rPr>
        <sz val="9"/>
        <color rgb="FF5B6068"/>
        <rFont val="Noto Sans CJK SC"/>
        <family val="2"/>
      </rPr>
      <t xml:space="preserve">（扣門窗開口）</t>
    </r>
  </si>
  <si>
    <t xml:space="preserve">ZWA</t>
  </si>
  <si>
    <r>
      <rPr>
        <sz val="10"/>
        <color rgb="FF000000"/>
        <rFont val="Arial"/>
        <family val="0"/>
        <charset val="1"/>
      </rPr>
      <t xml:space="preserve">4F </t>
    </r>
    <r>
      <rPr>
        <sz val="10"/>
        <color rgb="FF000000"/>
        <rFont val="Noto Sans CJK SC"/>
        <family val="2"/>
      </rPr>
      <t xml:space="preserve">側牆 </t>
    </r>
    <r>
      <rPr>
        <sz val="10"/>
        <color rgb="FF000000"/>
        <rFont val="Arial"/>
        <family val="0"/>
        <charset val="1"/>
      </rPr>
      <t xml:space="preserve">Zincalum 2</t>
    </r>
    <r>
      <rPr>
        <sz val="10"/>
        <color rgb="FF000000"/>
        <rFont val="Noto Sans CJK SC"/>
        <family val="2"/>
      </rPr>
      <t xml:space="preserve">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板面積</t>
    </r>
  </si>
  <si>
    <r>
      <rPr>
        <sz val="9"/>
        <color rgb="FF5B6068"/>
        <rFont val="Noto Sans CJK SC"/>
        <family val="2"/>
      </rPr>
      <t xml:space="preserve">周長 </t>
    </r>
    <r>
      <rPr>
        <sz val="9"/>
        <color rgb="FF5B6068"/>
        <rFont val="Arial"/>
        <family val="0"/>
        <charset val="1"/>
      </rPr>
      <t xml:space="preserve">× 6.0 m</t>
    </r>
    <r>
      <rPr>
        <sz val="9"/>
        <color rgb="FF5B6068"/>
        <rFont val="Noto Sans CJK SC"/>
        <family val="2"/>
      </rPr>
      <t xml:space="preserve">（</t>
    </r>
    <r>
      <rPr>
        <sz val="9"/>
        <color rgb="FF5B6068"/>
        <rFont val="Arial"/>
        <family val="0"/>
        <charset val="1"/>
      </rPr>
      <t xml:space="preserve">15.2 </t>
    </r>
    <r>
      <rPr>
        <sz val="9"/>
        <color rgb="FF5B6068"/>
        <rFont val="Noto Sans CJK SC"/>
        <family val="2"/>
      </rPr>
      <t xml:space="preserve">至簷口 </t>
    </r>
    <r>
      <rPr>
        <sz val="9"/>
        <color rgb="FF5B6068"/>
        <rFont val="Arial"/>
        <family val="0"/>
        <charset val="1"/>
      </rPr>
      <t xml:space="preserve">21.2</t>
    </r>
    <r>
      <rPr>
        <sz val="9"/>
        <color rgb="FF5B6068"/>
        <rFont val="Noto Sans CJK SC"/>
        <family val="2"/>
      </rPr>
      <t xml:space="preserve">）</t>
    </r>
  </si>
  <si>
    <t xml:space="preserve">ROOF</t>
  </si>
  <si>
    <r>
      <rPr>
        <sz val="10"/>
        <color rgb="FF000000"/>
        <rFont val="Noto Sans CJK SC"/>
        <family val="2"/>
      </rPr>
      <t xml:space="preserve">屋頂 </t>
    </r>
    <r>
      <rPr>
        <sz val="10"/>
        <color rgb="FF000000"/>
        <rFont val="Arial"/>
        <family val="0"/>
        <charset val="1"/>
      </rPr>
      <t xml:space="preserve">Zincalum 4</t>
    </r>
    <r>
      <rPr>
        <sz val="10"/>
        <color rgb="FF000000"/>
        <rFont val="Noto Sans CJK SC"/>
        <family val="2"/>
      </rPr>
      <t xml:space="preserve">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板面積（含坡度）</t>
    </r>
  </si>
  <si>
    <r>
      <rPr>
        <sz val="9"/>
        <color rgb="FF5B6068"/>
        <rFont val="Noto Sans CJK SC"/>
        <family val="2"/>
      </rPr>
      <t xml:space="preserve">投影面積 </t>
    </r>
    <r>
      <rPr>
        <sz val="9"/>
        <color rgb="FF5B6068"/>
        <rFont val="Arial"/>
        <family val="0"/>
        <charset val="1"/>
      </rPr>
      <t xml:space="preserve">× 1.03</t>
    </r>
  </si>
  <si>
    <t xml:space="preserve">BRKA</t>
  </si>
  <si>
    <r>
      <rPr>
        <sz val="10"/>
        <color rgb="FF000000"/>
        <rFont val="Noto Sans CJK SC"/>
        <family val="2"/>
      </rPr>
      <t xml:space="preserve">砌磚隔間面積（</t>
    </r>
    <r>
      <rPr>
        <sz val="10"/>
        <color rgb="FF000000"/>
        <rFont val="Arial"/>
        <family val="0"/>
        <charset val="1"/>
      </rPr>
      <t xml:space="preserve">1–4F </t>
    </r>
    <r>
      <rPr>
        <sz val="10"/>
        <color rgb="FF000000"/>
        <rFont val="Noto Sans CJK SC"/>
        <family val="2"/>
      </rPr>
      <t xml:space="preserve">所有隔間含樓梯間）</t>
    </r>
  </si>
  <si>
    <r>
      <rPr>
        <sz val="9"/>
        <color rgb="FF5B6068"/>
        <rFont val="Arial"/>
        <family val="0"/>
        <charset val="1"/>
      </rPr>
      <t xml:space="preserve">IFC </t>
    </r>
    <r>
      <rPr>
        <sz val="9"/>
        <color rgb="FF5B6068"/>
        <rFont val="Noto Sans CJK SC"/>
        <family val="2"/>
      </rPr>
      <t xml:space="preserve">樓梯間牆 </t>
    </r>
    <r>
      <rPr>
        <sz val="9"/>
        <color rgb="FF5B6068"/>
        <rFont val="Arial"/>
        <family val="0"/>
        <charset val="1"/>
      </rPr>
      <t xml:space="preserve">530 m² + 4F </t>
    </r>
    <r>
      <rPr>
        <sz val="9"/>
        <color rgb="FF5B6068"/>
        <rFont val="Noto Sans CJK SC"/>
        <family val="2"/>
      </rPr>
      <t xml:space="preserve">房間（紡口清潔／燃燒室／組裝檢驗／水處理）</t>
    </r>
    <r>
      <rPr>
        <sz val="9"/>
        <color rgb="FF5B6068"/>
        <rFont val="Arial"/>
        <family val="0"/>
        <charset val="1"/>
      </rPr>
      <t xml:space="preserve">+ 3F </t>
    </r>
    <r>
      <rPr>
        <sz val="9"/>
        <color rgb="FF5B6068"/>
        <rFont val="Noto Sans CJK SC"/>
        <family val="2"/>
      </rPr>
      <t xml:space="preserve">處理油攪拌室 </t>
    </r>
    <r>
      <rPr>
        <sz val="9"/>
        <color rgb="FF5B6068"/>
        <rFont val="Arial"/>
        <family val="0"/>
        <charset val="1"/>
      </rPr>
      <t xml:space="preserve">+ 1.5F </t>
    </r>
    <r>
      <rPr>
        <sz val="9"/>
        <color rgb="FF5B6068"/>
        <rFont val="Noto Sans CJK SC"/>
        <family val="2"/>
      </rPr>
      <t xml:space="preserve">控制室、空調室 估 </t>
    </r>
    <r>
      <rPr>
        <sz val="9"/>
        <color rgb="FF5B6068"/>
        <rFont val="Arial"/>
        <family val="0"/>
        <charset val="1"/>
      </rPr>
      <t xml:space="preserve">820 m²</t>
    </r>
  </si>
  <si>
    <t xml:space="preserve">GFA</t>
  </si>
  <si>
    <r>
      <rPr>
        <sz val="10"/>
        <color rgb="FF000000"/>
        <rFont val="Noto Sans CJK SC"/>
        <family val="2"/>
      </rPr>
      <t xml:space="preserve">總樓地板面積（</t>
    </r>
    <r>
      <rPr>
        <sz val="10"/>
        <color rgb="FF000000"/>
        <rFont val="Arial"/>
        <family val="0"/>
        <charset val="1"/>
      </rPr>
      <t xml:space="preserve">ACELON </t>
    </r>
    <r>
      <rPr>
        <sz val="10"/>
        <color rgb="FF000000"/>
        <rFont val="Noto Sans CJK SC"/>
        <family val="2"/>
      </rPr>
      <t xml:space="preserve">概算基準）</t>
    </r>
  </si>
  <si>
    <r>
      <rPr>
        <sz val="9"/>
        <color rgb="FF5B6068"/>
        <rFont val="Arial"/>
        <family val="0"/>
        <charset val="1"/>
      </rPr>
      <t xml:space="preserve">ACELON </t>
    </r>
    <r>
      <rPr>
        <sz val="9"/>
        <color rgb="FF5B6068"/>
        <rFont val="Noto Sans CJK SC"/>
        <family val="2"/>
      </rPr>
      <t xml:space="preserve">概算表：</t>
    </r>
    <r>
      <rPr>
        <sz val="9"/>
        <color rgb="FF5B6068"/>
        <rFont val="Arial"/>
        <family val="0"/>
        <charset val="1"/>
      </rPr>
      <t xml:space="preserve">23M×73M×4 </t>
    </r>
    <r>
      <rPr>
        <sz val="9"/>
        <color rgb="FF5B6068"/>
        <rFont val="Noto Sans CJK SC"/>
        <family val="2"/>
      </rPr>
      <t xml:space="preserve">樓（含地下室及一樓半）</t>
    </r>
    <r>
      <rPr>
        <sz val="9"/>
        <color rgb="FF5B6068"/>
        <rFont val="Arial"/>
        <family val="0"/>
        <charset val="1"/>
      </rPr>
      <t xml:space="preserve">9,040 m²</t>
    </r>
  </si>
  <si>
    <t xml:space="preserve">OPEN</t>
  </si>
  <si>
    <r>
      <rPr>
        <sz val="10"/>
        <color rgb="FF000000"/>
        <rFont val="Noto Sans CJK SC"/>
        <family val="2"/>
      </rPr>
      <t xml:space="preserve">設備放孔補強（角鐵 </t>
    </r>
    <r>
      <rPr>
        <sz val="10"/>
        <color rgb="FF000000"/>
        <rFont val="Arial"/>
        <family val="0"/>
        <charset val="1"/>
      </rPr>
      <t xml:space="preserve">SS400</t>
    </r>
    <r>
      <rPr>
        <sz val="10"/>
        <color rgb="FF000000"/>
        <rFont val="Noto Sans CJK SC"/>
        <family val="2"/>
      </rPr>
      <t xml:space="preserve">）＋防水墩：</t>
    </r>
    <r>
      <rPr>
        <sz val="10"/>
        <color rgb="FF000000"/>
        <rFont val="Arial"/>
        <family val="0"/>
        <charset val="1"/>
      </rPr>
      <t xml:space="preserve">1000×1000 </t>
    </r>
    <r>
      <rPr>
        <sz val="10"/>
        <color rgb="FF000000"/>
        <rFont val="Noto Sans CJK SC"/>
        <family val="2"/>
      </rPr>
      <t xml:space="preserve">放孔</t>
    </r>
  </si>
  <si>
    <t xml:space="preserve">孔</t>
  </si>
  <si>
    <r>
      <rPr>
        <sz val="9"/>
        <color rgb="FF5B6068"/>
        <rFont val="Arial"/>
        <family val="0"/>
        <charset val="1"/>
      </rPr>
      <t xml:space="preserve">1.5F / 2F / 3F </t>
    </r>
    <r>
      <rPr>
        <sz val="9"/>
        <color rgb="FF5B6068"/>
        <rFont val="Noto Sans CJK SC"/>
        <family val="2"/>
      </rPr>
      <t xml:space="preserve">各 </t>
    </r>
    <r>
      <rPr>
        <sz val="9"/>
        <color rgb="FF5B6068"/>
        <rFont val="Arial"/>
        <family val="0"/>
        <charset val="1"/>
      </rPr>
      <t xml:space="preserve">20 </t>
    </r>
    <r>
      <rPr>
        <sz val="9"/>
        <color rgb="FF5B6068"/>
        <rFont val="Noto Sans CJK SC"/>
        <family val="2"/>
      </rPr>
      <t xml:space="preserve">孔（</t>
    </r>
    <r>
      <rPr>
        <sz val="9"/>
        <color rgb="FF5B6068"/>
        <rFont val="Arial"/>
        <family val="0"/>
        <charset val="1"/>
      </rPr>
      <t xml:space="preserve">P0A30041/51/61</t>
    </r>
    <r>
      <rPr>
        <sz val="9"/>
        <color rgb="FF5B6068"/>
        <rFont val="Noto Sans CJK SC"/>
        <family val="2"/>
      </rPr>
      <t xml:space="preserve">）</t>
    </r>
  </si>
  <si>
    <r>
      <rPr>
        <b val="true"/>
        <sz val="14"/>
        <color rgb="FF000000"/>
        <rFont val="Noto Sans CJK SC"/>
        <family val="2"/>
      </rPr>
      <t xml:space="preserve">原絲廠房 </t>
    </r>
    <r>
      <rPr>
        <b val="true"/>
        <sz val="14"/>
        <color rgb="FF000000"/>
        <rFont val="Arial"/>
        <family val="0"/>
        <charset val="1"/>
      </rPr>
      <t xml:space="preserve">Nave N</t>
    </r>
    <r>
      <rPr>
        <b val="true"/>
        <sz val="14"/>
        <color rgb="FF000000"/>
        <rFont val="Noto Sans CJK SC"/>
        <family val="2"/>
      </rPr>
      <t xml:space="preserve">（</t>
    </r>
    <r>
      <rPr>
        <b val="true"/>
        <sz val="14"/>
        <color rgb="FF000000"/>
        <rFont val="Arial"/>
        <family val="0"/>
        <charset val="1"/>
      </rPr>
      <t xml:space="preserve">23.7 × 75.1 m</t>
    </r>
    <r>
      <rPr>
        <b val="true"/>
        <sz val="14"/>
        <color rgb="FF000000"/>
        <rFont val="Noto Sans CJK SC"/>
        <family val="2"/>
      </rPr>
      <t xml:space="preserve">，</t>
    </r>
    <r>
      <rPr>
        <b val="true"/>
        <sz val="14"/>
        <color rgb="FF000000"/>
        <rFont val="Arial"/>
        <family val="0"/>
        <charset val="1"/>
      </rPr>
      <t xml:space="preserve">RC 4 </t>
    </r>
    <r>
      <rPr>
        <b val="true"/>
        <sz val="14"/>
        <color rgb="FF000000"/>
        <rFont val="Noto Sans CJK SC"/>
        <family val="2"/>
      </rPr>
      <t xml:space="preserve">層 </t>
    </r>
    <r>
      <rPr>
        <b val="true"/>
        <sz val="14"/>
        <color rgb="FF000000"/>
        <rFont val="Arial"/>
        <family val="0"/>
        <charset val="1"/>
      </rPr>
      <t xml:space="preserve">+ 1.5F + </t>
    </r>
    <r>
      <rPr>
        <b val="true"/>
        <sz val="14"/>
        <color rgb="FF000000"/>
        <rFont val="Noto Sans CJK SC"/>
        <family val="2"/>
      </rPr>
      <t xml:space="preserve">地下風道；</t>
    </r>
    <r>
      <rPr>
        <b val="true"/>
        <sz val="14"/>
        <color rgb="FF000000"/>
        <rFont val="Arial"/>
        <family val="0"/>
        <charset val="1"/>
      </rPr>
      <t xml:space="preserve">GFA 9,040 m²</t>
    </r>
    <r>
      <rPr>
        <b val="true"/>
        <sz val="14"/>
        <color rgb="FF000000"/>
        <rFont val="Noto Sans CJK SC"/>
        <family val="2"/>
      </rPr>
      <t xml:space="preserve">）— 直接成本明細</t>
    </r>
  </si>
  <si>
    <r>
      <rPr>
        <i val="true"/>
        <sz val="10"/>
        <color rgb="FF5B6068"/>
        <rFont val="Noto Sans CJK SC"/>
        <family val="2"/>
      </rPr>
      <t xml:space="preserve">數量來自 </t>
    </r>
    <r>
      <rPr>
        <i val="true"/>
        <sz val="10"/>
        <color rgb="FF5B6068"/>
        <rFont val="Arial"/>
        <family val="0"/>
        <charset val="1"/>
      </rPr>
      <t xml:space="preserve">IFC </t>
    </r>
    <r>
      <rPr>
        <i val="true"/>
        <sz val="10"/>
        <color rgb="FF5B6068"/>
        <rFont val="Noto Sans CJK SC"/>
        <family val="2"/>
      </rPr>
      <t xml:space="preserve">與圖說；單價連結「假設與單價」表（綠字）。不含製程設備、製程管線、製程空調。</t>
    </r>
  </si>
  <si>
    <t xml:space="preserve">工程項目</t>
  </si>
  <si>
    <t xml:space="preserve">數量</t>
  </si>
  <si>
    <r>
      <rPr>
        <b val="true"/>
        <sz val="10"/>
        <color rgb="FFFFFFFF"/>
        <rFont val="Noto Sans CJK SC"/>
        <family val="2"/>
      </rPr>
      <t xml:space="preserve">單價 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</si>
  <si>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FFFFFF"/>
        <rFont val="Noto Sans CJK SC"/>
        <family val="2"/>
      </rPr>
      <t xml:space="preserve">數量依據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說明</t>
    </r>
  </si>
  <si>
    <t xml:space="preserve">土方與基礎</t>
  </si>
  <si>
    <t xml:space="preserve">1.1</t>
  </si>
  <si>
    <t xml:space="preserve">基礎與地下風道開挖、回填、運棄</t>
  </si>
  <si>
    <r>
      <rPr>
        <sz val="9"/>
        <color rgb="FF5B6068"/>
        <rFont val="Noto Sans CJK SC"/>
        <family val="2"/>
      </rPr>
      <t xml:space="preserve">數量計算表 </t>
    </r>
    <r>
      <rPr>
        <sz val="9"/>
        <color rgb="FF5B6068"/>
        <rFont val="Arial"/>
        <family val="0"/>
        <charset val="1"/>
      </rPr>
      <t xml:space="preserve">EXCV</t>
    </r>
  </si>
  <si>
    <t xml:space="preserve">1.2</t>
  </si>
  <si>
    <r>
      <rPr>
        <sz val="10"/>
        <color rgb="FF000000"/>
        <rFont val="Noto Sans CJK SC"/>
        <family val="2"/>
      </rPr>
      <t xml:space="preserve">墊層混凝土 </t>
    </r>
    <r>
      <rPr>
        <sz val="10"/>
        <color rgb="FF000000"/>
        <rFont val="Arial"/>
        <family val="0"/>
        <charset val="1"/>
      </rPr>
      <t xml:space="preserve">fck150 10 cm</t>
    </r>
    <r>
      <rPr>
        <sz val="10"/>
        <color rgb="FF000000"/>
        <rFont val="Noto Sans CJK SC"/>
        <family val="2"/>
      </rPr>
      <t xml:space="preserve">（基礎版與風道底）</t>
    </r>
  </si>
  <si>
    <r>
      <rPr>
        <sz val="9"/>
        <color rgb="FF5B6068"/>
        <rFont val="Noto Sans CJK SC"/>
        <family val="2"/>
      </rPr>
      <t xml:space="preserve">基礎坑面積 </t>
    </r>
    <r>
      <rPr>
        <sz val="9"/>
        <color rgb="FF5B6068"/>
        <rFont val="Arial"/>
        <family val="0"/>
        <charset val="1"/>
      </rPr>
      <t xml:space="preserve">+ </t>
    </r>
    <r>
      <rPr>
        <sz val="9"/>
        <color rgb="FF5B6068"/>
        <rFont val="Noto Sans CJK SC"/>
        <family val="2"/>
      </rPr>
      <t xml:space="preserve">風道底面積 </t>
    </r>
    <r>
      <rPr>
        <sz val="9"/>
        <color rgb="FF5B6068"/>
        <rFont val="Arial"/>
        <family val="0"/>
        <charset val="1"/>
      </rPr>
      <t xml:space="preserve">× 0.1 m</t>
    </r>
  </si>
  <si>
    <t xml:space="preserve">1.3</t>
  </si>
  <si>
    <r>
      <rPr>
        <sz val="10"/>
        <color rgb="FF000000"/>
        <rFont val="Noto Sans CJK SC"/>
        <family val="2"/>
      </rPr>
      <t xml:space="preserve">基礎版擴大 </t>
    </r>
    <r>
      <rPr>
        <sz val="10"/>
        <color rgb="FF000000"/>
        <rFont val="Arial"/>
        <family val="0"/>
        <charset val="1"/>
      </rPr>
      <t xml:space="preserve">RC </t>
    </r>
    <r>
      <rPr>
        <sz val="10"/>
        <color rgb="FF000000"/>
        <rFont val="Noto Sans CJK SC"/>
        <family val="2"/>
      </rPr>
      <t xml:space="preserve">混凝土</t>
    </r>
  </si>
  <si>
    <r>
      <rPr>
        <sz val="9"/>
        <color rgb="FF5B6068"/>
        <rFont val="Noto Sans CJK SC"/>
        <family val="2"/>
      </rPr>
      <t xml:space="preserve">數量計算表 </t>
    </r>
    <r>
      <rPr>
        <sz val="9"/>
        <color rgb="FF5B6068"/>
        <rFont val="Arial"/>
        <family val="0"/>
        <charset val="1"/>
      </rPr>
      <t xml:space="preserve">FOOT</t>
    </r>
    <r>
      <rPr>
        <sz val="9"/>
        <color rgb="FF5B6068"/>
        <rFont val="Noto Sans CJK SC"/>
        <family val="2"/>
      </rPr>
      <t xml:space="preserve">（</t>
    </r>
    <r>
      <rPr>
        <sz val="9"/>
        <color rgb="FF5B6068"/>
        <rFont val="Arial"/>
        <family val="0"/>
        <charset val="1"/>
      </rPr>
      <t xml:space="preserve">IFC </t>
    </r>
    <r>
      <rPr>
        <sz val="9"/>
        <color rgb="FF5B6068"/>
        <rFont val="Noto Sans CJK SC"/>
        <family val="2"/>
      </rPr>
      <t xml:space="preserve">基礎 </t>
    </r>
    <r>
      <rPr>
        <sz val="9"/>
        <color rgb="FF5B6068"/>
        <rFont val="Arial"/>
        <family val="0"/>
        <charset val="1"/>
      </rPr>
      <t xml:space="preserve">34.6 m³ </t>
    </r>
    <r>
      <rPr>
        <sz val="9"/>
        <color rgb="FF5B6068"/>
        <rFont val="Noto Sans CJK SC"/>
        <family val="2"/>
      </rPr>
      <t xml:space="preserve">為示意，改採估算值）</t>
    </r>
  </si>
  <si>
    <t xml:space="preserve">1.4</t>
  </si>
  <si>
    <r>
      <rPr>
        <sz val="10"/>
        <color rgb="FF000000"/>
        <rFont val="Noto Sans CJK SC"/>
        <family val="2"/>
      </rPr>
      <t xml:space="preserve">基礎版鋼筋（</t>
    </r>
    <r>
      <rPr>
        <sz val="10"/>
        <color rgb="FF000000"/>
        <rFont val="Arial"/>
        <family val="0"/>
        <charset val="1"/>
      </rPr>
      <t xml:space="preserve">60 kg/m³</t>
    </r>
    <r>
      <rPr>
        <sz val="10"/>
        <color rgb="FF000000"/>
        <rFont val="Noto Sans CJK SC"/>
        <family val="2"/>
      </rPr>
      <t xml:space="preserve">）</t>
    </r>
  </si>
  <si>
    <t xml:space="preserve">kg</t>
  </si>
  <si>
    <r>
      <rPr>
        <sz val="9"/>
        <color rgb="FF5B6068"/>
        <rFont val="Noto Sans CJK SC"/>
        <family val="2"/>
      </rPr>
      <t xml:space="preserve">含鋼率 </t>
    </r>
    <r>
      <rPr>
        <sz val="9"/>
        <color rgb="FF5B6068"/>
        <rFont val="Arial"/>
        <family val="0"/>
        <charset val="1"/>
      </rPr>
      <t xml:space="preserve">60 kg/m³</t>
    </r>
    <r>
      <rPr>
        <sz val="9"/>
        <color rgb="FF5B6068"/>
        <rFont val="Noto Sans CJK SC"/>
        <family val="2"/>
      </rPr>
      <t xml:space="preserve">（</t>
    </r>
    <r>
      <rPr>
        <sz val="9"/>
        <color rgb="FF5B6068"/>
        <rFont val="Arial"/>
        <family val="0"/>
        <charset val="1"/>
      </rPr>
      <t xml:space="preserve">CYPE </t>
    </r>
    <r>
      <rPr>
        <sz val="9"/>
        <color rgb="FF5B6068"/>
        <rFont val="Noto Sans CJK SC"/>
        <family val="2"/>
      </rPr>
      <t xml:space="preserve">基礎 </t>
    </r>
    <r>
      <rPr>
        <sz val="9"/>
        <color rgb="FF5B6068"/>
        <rFont val="Arial"/>
        <family val="0"/>
        <charset val="1"/>
      </rPr>
      <t xml:space="preserve">50 kg/m³ + </t>
    </r>
    <r>
      <rPr>
        <sz val="9"/>
        <color rgb="FF5B6068"/>
        <rFont val="Noto Sans CJK SC"/>
        <family val="2"/>
      </rPr>
      <t xml:space="preserve">重載）</t>
    </r>
  </si>
  <si>
    <t xml:space="preserve">1.5</t>
  </si>
  <si>
    <t xml:space="preserve">基礎版模板</t>
  </si>
  <si>
    <t xml:space="preserve">側模</t>
  </si>
  <si>
    <t xml:space="preserve">1.6</t>
  </si>
  <si>
    <r>
      <rPr>
        <sz val="10"/>
        <color rgb="FF000000"/>
        <rFont val="Noto Sans CJK SC"/>
        <family val="2"/>
      </rPr>
      <t xml:space="preserve">地樑與基礎柱 </t>
    </r>
    <r>
      <rPr>
        <sz val="10"/>
        <color rgb="FF000000"/>
        <rFont val="Arial"/>
        <family val="0"/>
        <charset val="1"/>
      </rPr>
      <t xml:space="preserve">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 Fundación </t>
    </r>
    <r>
      <rPr>
        <sz val="10"/>
        <color rgb="FF000000"/>
        <rFont val="Noto Sans CJK SC"/>
        <family val="2"/>
      </rPr>
      <t xml:space="preserve">樑 </t>
    </r>
    <r>
      <rPr>
        <sz val="10"/>
        <color rgb="FF000000"/>
        <rFont val="Arial"/>
        <family val="0"/>
        <charset val="1"/>
      </rPr>
      <t xml:space="preserve">30.9 + </t>
    </r>
    <r>
      <rPr>
        <sz val="10"/>
        <color rgb="FF000000"/>
        <rFont val="Noto Sans CJK SC"/>
        <family val="2"/>
      </rPr>
      <t xml:space="preserve">柱 </t>
    </r>
    <r>
      <rPr>
        <sz val="10"/>
        <color rgb="FF000000"/>
        <rFont val="Arial"/>
        <family val="0"/>
        <charset val="1"/>
      </rPr>
      <t xml:space="preserve">42.1 m³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</si>
  <si>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Arial"/>
        <family val="0"/>
        <charset val="1"/>
      </rPr>
      <t xml:space="preserve">IFC Fundación </t>
    </r>
    <r>
      <rPr>
        <sz val="9"/>
        <color rgb="FF5B6068"/>
        <rFont val="Noto Sans CJK SC"/>
        <family val="2"/>
      </rPr>
      <t xml:space="preserve">層</t>
    </r>
  </si>
  <si>
    <t xml:space="preserve">1.7</t>
  </si>
  <si>
    <r>
      <rPr>
        <sz val="10"/>
        <color rgb="FF000000"/>
        <rFont val="Noto Sans CJK SC"/>
        <family val="2"/>
      </rPr>
      <t xml:space="preserve">地樑與基礎柱鋼筋（</t>
    </r>
    <r>
      <rPr>
        <sz val="10"/>
        <color rgb="FF000000"/>
        <rFont val="Arial"/>
        <family val="0"/>
        <charset val="1"/>
      </rPr>
      <t xml:space="preserve">140 kg/m³</t>
    </r>
    <r>
      <rPr>
        <sz val="10"/>
        <color rgb="FF000000"/>
        <rFont val="Noto Sans CJK SC"/>
        <family val="2"/>
      </rPr>
      <t xml:space="preserve">）</t>
    </r>
  </si>
  <si>
    <t xml:space="preserve">1.8</t>
  </si>
  <si>
    <t xml:space="preserve">地樑與基礎柱模板</t>
  </si>
  <si>
    <r>
      <rPr>
        <sz val="9"/>
        <color rgb="FF5B6068"/>
        <rFont val="Arial"/>
        <family val="0"/>
        <charset val="1"/>
      </rPr>
      <t xml:space="preserve">IFC </t>
    </r>
    <r>
      <rPr>
        <sz val="9"/>
        <color rgb="FF5B6068"/>
        <rFont val="Noto Sans CJK SC"/>
        <family val="2"/>
      </rPr>
      <t xml:space="preserve">表面積 </t>
    </r>
    <r>
      <rPr>
        <sz val="9"/>
        <color rgb="FF5B6068"/>
        <rFont val="Arial"/>
        <family val="0"/>
        <charset val="1"/>
      </rPr>
      <t xml:space="preserve">× </t>
    </r>
    <r>
      <rPr>
        <sz val="9"/>
        <color rgb="FF5B6068"/>
        <rFont val="Noto Sans CJK SC"/>
        <family val="2"/>
      </rPr>
      <t xml:space="preserve">係數</t>
    </r>
  </si>
  <si>
    <t xml:space="preserve">1.9</t>
  </si>
  <si>
    <r>
      <rPr>
        <sz val="10"/>
        <color rgb="FF000000"/>
        <rFont val="Noto Sans CJK SC"/>
        <family val="2"/>
      </rPr>
      <t xml:space="preserve">地下風道 </t>
    </r>
    <r>
      <rPr>
        <sz val="10"/>
        <color rgb="FF000000"/>
        <rFont val="Arial"/>
        <family val="0"/>
        <charset val="1"/>
      </rPr>
      <t xml:space="preserve">RC </t>
    </r>
    <r>
      <rPr>
        <sz val="10"/>
        <color rgb="FF000000"/>
        <rFont val="Noto Sans CJK SC"/>
        <family val="2"/>
      </rPr>
      <t xml:space="preserve">混凝土（兩道連通，</t>
    </r>
    <r>
      <rPr>
        <sz val="10"/>
        <color rgb="FF000000"/>
        <rFont val="Arial"/>
        <family val="0"/>
        <charset val="1"/>
      </rPr>
      <t xml:space="preserve">RC </t>
    </r>
    <r>
      <rPr>
        <sz val="10"/>
        <color rgb="FF000000"/>
        <rFont val="Noto Sans CJK SC"/>
        <family val="2"/>
      </rPr>
      <t xml:space="preserve">非鐵板）</t>
    </r>
  </si>
  <si>
    <r>
      <rPr>
        <sz val="9"/>
        <color rgb="FF5B6068"/>
        <rFont val="Arial"/>
        <family val="0"/>
        <charset val="1"/>
      </rPr>
      <t xml:space="preserve">9/4 </t>
    </r>
    <r>
      <rPr>
        <sz val="9"/>
        <color rgb="FF5B6068"/>
        <rFont val="Noto Sans CJK SC"/>
        <family val="2"/>
      </rPr>
      <t xml:space="preserve">回覆第 </t>
    </r>
    <r>
      <rPr>
        <sz val="9"/>
        <color rgb="FF5B6068"/>
        <rFont val="Arial"/>
        <family val="0"/>
        <charset val="1"/>
      </rPr>
      <t xml:space="preserve">1 </t>
    </r>
    <r>
      <rPr>
        <sz val="9"/>
        <color rgb="FF5B6068"/>
        <rFont val="Noto Sans CJK SC"/>
        <family val="2"/>
      </rPr>
      <t xml:space="preserve">點；數量計算表 </t>
    </r>
    <r>
      <rPr>
        <sz val="9"/>
        <color rgb="FF5B6068"/>
        <rFont val="Arial"/>
        <family val="0"/>
        <charset val="1"/>
      </rPr>
      <t xml:space="preserve">DUCT</t>
    </r>
  </si>
  <si>
    <t xml:space="preserve">1.10</t>
  </si>
  <si>
    <r>
      <rPr>
        <sz val="10"/>
        <color rgb="FF000000"/>
        <rFont val="Noto Sans CJK SC"/>
        <family val="2"/>
      </rPr>
      <t xml:space="preserve">地下風道鋼筋（</t>
    </r>
    <r>
      <rPr>
        <sz val="10"/>
        <color rgb="FF000000"/>
        <rFont val="Arial"/>
        <family val="0"/>
        <charset val="1"/>
      </rPr>
      <t xml:space="preserve">90 kg/m³</t>
    </r>
    <r>
      <rPr>
        <sz val="10"/>
        <color rgb="FF000000"/>
        <rFont val="Noto Sans CJK SC"/>
        <family val="2"/>
      </rPr>
      <t xml:space="preserve">）</t>
    </r>
  </si>
  <si>
    <t xml:space="preserve">1.11</t>
  </si>
  <si>
    <t xml:space="preserve">1.12</t>
  </si>
  <si>
    <t xml:space="preserve">地下風道防水與內面粉光</t>
  </si>
  <si>
    <r>
      <rPr>
        <sz val="9"/>
        <color rgb="FF5B6068"/>
        <rFont val="Noto Sans CJK SC"/>
        <family val="2"/>
      </rPr>
      <t xml:space="preserve">水泥基防水塗料 </t>
    </r>
    <r>
      <rPr>
        <sz val="9"/>
        <color rgb="FF5B6068"/>
        <rFont val="Arial"/>
        <family val="0"/>
        <charset val="1"/>
      </rPr>
      <t xml:space="preserve">+ </t>
    </r>
    <r>
      <rPr>
        <sz val="9"/>
        <color rgb="FF5B6068"/>
        <rFont val="Noto Sans CJK SC"/>
        <family val="2"/>
      </rPr>
      <t xml:space="preserve">粉光（送冷風用）</t>
    </r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</si>
  <si>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1. </t>
    </r>
    <r>
      <rPr>
        <b val="true"/>
        <sz val="10"/>
        <color rgb="FF000000"/>
        <rFont val="Noto Sans CJK SC"/>
        <family val="2"/>
      </rPr>
      <t xml:space="preserve">土方與基礎</t>
    </r>
  </si>
  <si>
    <r>
      <rPr>
        <b val="true"/>
        <sz val="10"/>
        <color rgb="FF000000"/>
        <rFont val="Noto Sans CJK SC"/>
        <family val="2"/>
      </rPr>
      <t xml:space="preserve">上部 </t>
    </r>
    <r>
      <rPr>
        <b val="true"/>
        <sz val="10"/>
        <color rgb="FF000000"/>
        <rFont val="Arial"/>
        <family val="0"/>
        <charset val="1"/>
      </rPr>
      <t xml:space="preserve">RC </t>
    </r>
    <r>
      <rPr>
        <b val="true"/>
        <sz val="10"/>
        <color rgb="FF000000"/>
        <rFont val="Noto Sans CJK SC"/>
        <family val="2"/>
      </rPr>
      <t xml:space="preserve">結構（</t>
    </r>
    <r>
      <rPr>
        <b val="true"/>
        <sz val="10"/>
        <color rgb="FF000000"/>
        <rFont val="Arial"/>
        <family val="0"/>
        <charset val="1"/>
      </rPr>
      <t xml:space="preserve">1F–4F</t>
    </r>
    <r>
      <rPr>
        <b val="true"/>
        <sz val="10"/>
        <color rgb="FF000000"/>
        <rFont val="Noto Sans CJK SC"/>
        <family val="2"/>
      </rPr>
      <t xml:space="preserve">，含 </t>
    </r>
    <r>
      <rPr>
        <b val="true"/>
        <sz val="10"/>
        <color rgb="FF000000"/>
        <rFont val="Arial"/>
        <family val="0"/>
        <charset val="1"/>
      </rPr>
      <t xml:space="preserve">1.5F </t>
    </r>
    <r>
      <rPr>
        <b val="true"/>
        <sz val="10"/>
        <color rgb="FF000000"/>
        <rFont val="Noto Sans CJK SC"/>
        <family val="2"/>
      </rPr>
      <t xml:space="preserve">技術層）</t>
    </r>
  </si>
  <si>
    <t xml:space="preserve">2.1</t>
  </si>
  <si>
    <r>
      <rPr>
        <sz val="10"/>
        <color rgb="FF000000"/>
        <rFont val="Noto Sans CJK SC"/>
        <family val="2"/>
      </rPr>
      <t xml:space="preserve">柱、樑、樓板、樓梯、</t>
    </r>
    <r>
      <rPr>
        <sz val="10"/>
        <color rgb="FF000000"/>
        <rFont val="Arial"/>
        <family val="0"/>
        <charset val="1"/>
      </rPr>
      <t xml:space="preserve">RC </t>
    </r>
    <r>
      <rPr>
        <sz val="10"/>
        <color rgb="FF000000"/>
        <rFont val="Noto Sans CJK SC"/>
        <family val="2"/>
      </rPr>
      <t xml:space="preserve">牆混凝土 </t>
    </r>
    <r>
      <rPr>
        <sz val="10"/>
        <color rgb="FF000000"/>
        <rFont val="Arial"/>
        <family val="0"/>
        <charset val="1"/>
      </rPr>
      <t xml:space="preserve">fck250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 </t>
    </r>
    <r>
      <rPr>
        <sz val="10"/>
        <color rgb="FF000000"/>
        <rFont val="Noto Sans CJK SC"/>
        <family val="2"/>
      </rPr>
      <t xml:space="preserve">實體體積）</t>
    </r>
  </si>
  <si>
    <r>
      <rPr>
        <sz val="9"/>
        <color rgb="FF5B6068"/>
        <rFont val="Noto Sans CJK SC"/>
        <family val="2"/>
      </rPr>
      <t xml:space="preserve">數量計算表合計扣除 </t>
    </r>
    <r>
      <rPr>
        <sz val="9"/>
        <color rgb="FF5B6068"/>
        <rFont val="Arial"/>
        <family val="0"/>
        <charset val="1"/>
      </rPr>
      <t xml:space="preserve">Fundación </t>
    </r>
    <r>
      <rPr>
        <sz val="9"/>
        <color rgb="FF5B6068"/>
        <rFont val="Noto Sans CJK SC"/>
        <family val="2"/>
      </rPr>
      <t xml:space="preserve">層（已計於基礎）</t>
    </r>
  </si>
  <si>
    <t xml:space="preserve">2.2</t>
  </si>
  <si>
    <r>
      <rPr>
        <sz val="10"/>
        <color rgb="FF000000"/>
        <rFont val="Noto Sans CJK SC"/>
        <family val="2"/>
      </rPr>
      <t xml:space="preserve">鋼筋（依構件含鋼率 </t>
    </r>
    <r>
      <rPr>
        <sz val="10"/>
        <color rgb="FF000000"/>
        <rFont val="Arial"/>
        <family val="0"/>
        <charset val="1"/>
      </rPr>
      <t xml:space="preserve">100–150 kg/m³</t>
    </r>
    <r>
      <rPr>
        <sz val="10"/>
        <color rgb="FF000000"/>
        <rFont val="Noto Sans CJK SC"/>
        <family val="2"/>
      </rPr>
      <t xml:space="preserve">）</t>
    </r>
  </si>
  <si>
    <t xml:space="preserve">數量計算表鋼筋合計扣除基礎層</t>
  </si>
  <si>
    <t xml:space="preserve">2.3</t>
  </si>
  <si>
    <t xml:space="preserve">柱樑模板</t>
  </si>
  <si>
    <t xml:space="preserve">數量計算表柱樑模板扣除基礎層</t>
  </si>
  <si>
    <t xml:space="preserve">2.4</t>
  </si>
  <si>
    <r>
      <rPr>
        <sz val="10"/>
        <color rgb="FF000000"/>
        <rFont val="Noto Sans CJK SC"/>
        <family val="2"/>
      </rPr>
      <t xml:space="preserve">樓板與樓梯模板（含 </t>
    </r>
    <r>
      <rPr>
        <sz val="10"/>
        <color rgb="FF000000"/>
        <rFont val="Arial"/>
        <family val="0"/>
        <charset val="1"/>
      </rPr>
      <t xml:space="preserve">3.5–4 m </t>
    </r>
    <r>
      <rPr>
        <sz val="10"/>
        <color rgb="FF000000"/>
        <rFont val="Noto Sans CJK SC"/>
        <family val="2"/>
      </rPr>
      <t xml:space="preserve">支撐）</t>
    </r>
  </si>
  <si>
    <t xml:space="preserve">扣除基礎版</t>
  </si>
  <si>
    <t xml:space="preserve">2.5</t>
  </si>
  <si>
    <r>
      <rPr>
        <sz val="10"/>
        <color rgb="FF000000"/>
        <rFont val="Noto Sans CJK SC"/>
        <family val="2"/>
      </rPr>
      <t xml:space="preserve">放孔補強角鐵 </t>
    </r>
    <r>
      <rPr>
        <sz val="10"/>
        <color rgb="FF000000"/>
        <rFont val="Arial"/>
        <family val="0"/>
        <charset val="1"/>
      </rPr>
      <t xml:space="preserve">SS400 </t>
    </r>
    <r>
      <rPr>
        <sz val="10"/>
        <color rgb="FF000000"/>
        <rFont val="Noto Sans CJK SC"/>
        <family val="2"/>
      </rPr>
      <t xml:space="preserve">＋ 防水墩（</t>
    </r>
    <r>
      <rPr>
        <sz val="10"/>
        <color rgb="FF000000"/>
        <rFont val="Arial"/>
        <family val="0"/>
        <charset val="1"/>
      </rPr>
      <t xml:space="preserve">1000×1000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60 </t>
    </r>
    <r>
      <rPr>
        <sz val="10"/>
        <color rgb="FF000000"/>
        <rFont val="Noto Sans CJK SC"/>
        <family val="2"/>
      </rPr>
      <t xml:space="preserve">孔）</t>
    </r>
  </si>
  <si>
    <r>
      <rPr>
        <sz val="9"/>
        <color rgb="FF5B6068"/>
        <rFont val="Arial"/>
        <family val="0"/>
        <charset val="1"/>
      </rPr>
      <t xml:space="preserve">9/4 </t>
    </r>
    <r>
      <rPr>
        <sz val="9"/>
        <color rgb="FF5B6068"/>
        <rFont val="Noto Sans CJK SC"/>
        <family val="2"/>
      </rPr>
      <t xml:space="preserve">回覆：設備放孔角鐵補強、空調放孔防水墩</t>
    </r>
  </si>
  <si>
    <t xml:space="preserve">2.6</t>
  </si>
  <si>
    <r>
      <rPr>
        <sz val="10"/>
        <color rgb="FF000000"/>
        <rFont val="Arial"/>
        <family val="0"/>
        <charset val="1"/>
      </rPr>
      <t xml:space="preserve">3F 20 mm </t>
    </r>
    <r>
      <rPr>
        <sz val="10"/>
        <color rgb="FF000000"/>
        <rFont val="Noto Sans CJK SC"/>
        <family val="2"/>
      </rPr>
      <t xml:space="preserve">鋼底板 </t>
    </r>
    <r>
      <rPr>
        <sz val="10"/>
        <color rgb="FF000000"/>
        <rFont val="Arial"/>
        <family val="0"/>
        <charset val="1"/>
      </rPr>
      <t xml:space="preserve">3.8 × 8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RFI 23</t>
    </r>
    <r>
      <rPr>
        <sz val="10"/>
        <color rgb="FF000000"/>
        <rFont val="Noto Sans CJK SC"/>
        <family val="2"/>
      </rPr>
      <t xml:space="preserve">，若為獨立設備基礎）</t>
    </r>
  </si>
  <si>
    <r>
      <rPr>
        <sz val="9"/>
        <color rgb="FF5B6068"/>
        <rFont val="Noto Sans CJK SC"/>
        <family val="2"/>
      </rPr>
      <t xml:space="preserve">鋼板供料＋安裝 </t>
    </r>
    <r>
      <rPr>
        <sz val="9"/>
        <color rgb="FF5B6068"/>
        <rFont val="Arial"/>
        <family val="0"/>
        <charset val="1"/>
      </rPr>
      <t xml:space="preserve">USD 2.6/kg</t>
    </r>
    <r>
      <rPr>
        <sz val="9"/>
        <color rgb="FF5B6068"/>
        <rFont val="Noto Sans CJK SC"/>
        <family val="2"/>
      </rPr>
      <t xml:space="preserve">；是否需要待 </t>
    </r>
    <r>
      <rPr>
        <sz val="9"/>
        <color rgb="FF5B6068"/>
        <rFont val="Arial"/>
        <family val="0"/>
        <charset val="1"/>
      </rPr>
      <t xml:space="preserve">ACELON </t>
    </r>
    <r>
      <rPr>
        <sz val="9"/>
        <color rgb="FF5B6068"/>
        <rFont val="Noto Sans CJK SC"/>
        <family val="2"/>
      </rPr>
      <t xml:space="preserve">確認</t>
    </r>
  </si>
  <si>
    <t xml:space="preserve">2.7</t>
  </si>
  <si>
    <r>
      <rPr>
        <sz val="10"/>
        <color rgb="FF000000"/>
        <rFont val="Arial"/>
        <family val="0"/>
        <charset val="1"/>
      </rPr>
      <t xml:space="preserve">4F </t>
    </r>
    <r>
      <rPr>
        <sz val="10"/>
        <color rgb="FF000000"/>
        <rFont val="Noto Sans CJK SC"/>
        <family val="2"/>
      </rPr>
      <t xml:space="preserve">天車軌道（</t>
    </r>
    <r>
      <rPr>
        <sz val="10"/>
        <color rgb="FF000000"/>
        <rFont val="Arial"/>
        <family val="0"/>
        <charset val="1"/>
      </rPr>
      <t xml:space="preserve">Skycar</t>
    </r>
    <r>
      <rPr>
        <sz val="10"/>
        <color rgb="FF000000"/>
        <rFont val="Noto Sans CJK SC"/>
        <family val="2"/>
      </rPr>
      <t xml:space="preserve">，含軌道樑，噸位待定 </t>
    </r>
    <r>
      <rPr>
        <sz val="10"/>
        <color rgb="FF000000"/>
        <rFont val="Arial"/>
        <family val="0"/>
        <charset val="1"/>
      </rPr>
      <t xml:space="preserve">RFI 24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</si>
  <si>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Noto Sans CJK SC"/>
        <family val="2"/>
      </rPr>
      <t xml:space="preserve">軌道 </t>
    </r>
    <r>
      <rPr>
        <sz val="9"/>
        <color rgb="FF5B6068"/>
        <rFont val="Arial"/>
        <family val="0"/>
        <charset val="1"/>
      </rPr>
      <t xml:space="preserve">2 </t>
    </r>
    <r>
      <rPr>
        <sz val="9"/>
        <color rgb="FF5B6068"/>
        <rFont val="Noto Sans CJK SC"/>
        <family val="2"/>
      </rPr>
      <t xml:space="preserve">條 </t>
    </r>
    <r>
      <rPr>
        <sz val="9"/>
        <color rgb="FF5B6068"/>
        <rFont val="Arial"/>
        <family val="0"/>
        <charset val="1"/>
      </rPr>
      <t xml:space="preserve">× 73 m</t>
    </r>
    <r>
      <rPr>
        <sz val="9"/>
        <color rgb="FF5B6068"/>
        <rFont val="Noto Sans CJK SC"/>
        <family val="2"/>
      </rPr>
      <t xml:space="preserve">；以 </t>
    </r>
    <r>
      <rPr>
        <sz val="9"/>
        <color rgb="FF5B6068"/>
        <rFont val="Arial"/>
        <family val="0"/>
        <charset val="1"/>
      </rPr>
      <t xml:space="preserve">3 t </t>
    </r>
    <r>
      <rPr>
        <sz val="9"/>
        <color rgb="FF5B6068"/>
        <rFont val="Noto Sans CJK SC"/>
        <family val="2"/>
      </rPr>
      <t xml:space="preserve">級估</t>
    </r>
  </si>
  <si>
    <t xml:space="preserve">2.8</t>
  </si>
  <si>
    <r>
      <rPr>
        <sz val="10"/>
        <color rgb="FF000000"/>
        <rFont val="Arial"/>
        <family val="0"/>
        <charset val="1"/>
      </rPr>
      <t xml:space="preserve">1F </t>
    </r>
    <r>
      <rPr>
        <sz val="10"/>
        <color rgb="FF000000"/>
        <rFont val="Noto Sans CJK SC"/>
        <family val="2"/>
      </rPr>
      <t xml:space="preserve">工業地坪硬化面層與切縫（</t>
    </r>
    <r>
      <rPr>
        <sz val="10"/>
        <color rgb="FF000000"/>
        <rFont val="Arial"/>
        <family val="0"/>
        <charset val="1"/>
      </rPr>
      <t xml:space="preserve">IFC 1F </t>
    </r>
    <r>
      <rPr>
        <sz val="10"/>
        <color rgb="FF000000"/>
        <rFont val="Noto Sans CJK SC"/>
        <family val="2"/>
      </rPr>
      <t xml:space="preserve">板混凝土已計）</t>
    </r>
  </si>
  <si>
    <t xml:space="preserve">僅計硬化劑、機械抹光、切縫（混凝土在結構項）</t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</si>
  <si>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2. </t>
    </r>
    <r>
      <rPr>
        <b val="true"/>
        <sz val="10"/>
        <color rgb="FF000000"/>
        <rFont val="Noto Sans CJK SC"/>
        <family val="2"/>
      </rPr>
      <t xml:space="preserve">上部 </t>
    </r>
    <r>
      <rPr>
        <b val="true"/>
        <sz val="10"/>
        <color rgb="FF000000"/>
        <rFont val="Arial"/>
        <family val="0"/>
        <charset val="1"/>
      </rPr>
      <t xml:space="preserve">RC </t>
    </r>
    <r>
      <rPr>
        <b val="true"/>
        <sz val="10"/>
        <color rgb="FF000000"/>
        <rFont val="Noto Sans CJK SC"/>
        <family val="2"/>
      </rPr>
      <t xml:space="preserve">結構（</t>
    </r>
    <r>
      <rPr>
        <b val="true"/>
        <sz val="10"/>
        <color rgb="FF000000"/>
        <rFont val="Arial"/>
        <family val="0"/>
        <charset val="1"/>
      </rPr>
      <t xml:space="preserve">1F–4F</t>
    </r>
    <r>
      <rPr>
        <b val="true"/>
        <sz val="10"/>
        <color rgb="FF000000"/>
        <rFont val="Noto Sans CJK SC"/>
        <family val="2"/>
      </rPr>
      <t xml:space="preserve">，含 </t>
    </r>
    <r>
      <rPr>
        <b val="true"/>
        <sz val="10"/>
        <color rgb="FF000000"/>
        <rFont val="Arial"/>
        <family val="0"/>
        <charset val="1"/>
      </rPr>
      <t xml:space="preserve">1.5F </t>
    </r>
    <r>
      <rPr>
        <b val="true"/>
        <sz val="10"/>
        <color rgb="FF000000"/>
        <rFont val="Noto Sans CJK SC"/>
        <family val="2"/>
      </rPr>
      <t xml:space="preserve">技術層）</t>
    </r>
  </si>
  <si>
    <r>
      <rPr>
        <b val="true"/>
        <sz val="10"/>
        <color rgb="FF000000"/>
        <rFont val="Noto Sans CJK SC"/>
        <family val="2"/>
      </rPr>
      <t xml:space="preserve">外殼（依 </t>
    </r>
    <r>
      <rPr>
        <b val="true"/>
        <sz val="10"/>
        <color rgb="FF000000"/>
        <rFont val="Arial"/>
        <family val="0"/>
        <charset val="1"/>
      </rPr>
      <t xml:space="preserve">9/4 </t>
    </r>
    <r>
      <rPr>
        <b val="true"/>
        <sz val="10"/>
        <color rgb="FF000000"/>
        <rFont val="Noto Sans CJK SC"/>
        <family val="2"/>
      </rPr>
      <t xml:space="preserve">回覆：</t>
    </r>
    <r>
      <rPr>
        <b val="true"/>
        <sz val="10"/>
        <color rgb="FF000000"/>
        <rFont val="Arial"/>
        <family val="0"/>
        <charset val="1"/>
      </rPr>
      <t xml:space="preserve">1–3F RC </t>
    </r>
    <r>
      <rPr>
        <b val="true"/>
        <sz val="10"/>
        <color rgb="FF000000"/>
        <rFont val="Noto Sans CJK SC"/>
        <family val="2"/>
      </rPr>
      <t xml:space="preserve">外牆、</t>
    </r>
    <r>
      <rPr>
        <b val="true"/>
        <sz val="10"/>
        <color rgb="FF000000"/>
        <rFont val="Arial"/>
        <family val="0"/>
        <charset val="1"/>
      </rPr>
      <t xml:space="preserve">4F Zincalum</t>
    </r>
    <r>
      <rPr>
        <b val="true"/>
        <sz val="10"/>
        <color rgb="FF000000"/>
        <rFont val="Noto Sans CJK SC"/>
        <family val="2"/>
      </rPr>
      <t xml:space="preserve">、屋頂 </t>
    </r>
    <r>
      <rPr>
        <b val="true"/>
        <sz val="10"/>
        <color rgb="FF000000"/>
        <rFont val="Arial"/>
        <family val="0"/>
        <charset val="1"/>
      </rPr>
      <t xml:space="preserve">4</t>
    </r>
    <r>
      <rPr>
        <b val="true"/>
        <sz val="10"/>
        <color rgb="FF000000"/>
        <rFont val="Noto Sans CJK SC"/>
        <family val="2"/>
      </rPr>
      <t xml:space="preserve">合</t>
    </r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</si>
  <si>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3.1</t>
  </si>
  <si>
    <r>
      <rPr>
        <sz val="10"/>
        <color rgb="FF000000"/>
        <rFont val="Arial"/>
        <family val="0"/>
        <charset val="1"/>
      </rPr>
      <t xml:space="preserve">1–3F RC </t>
    </r>
    <r>
      <rPr>
        <sz val="10"/>
        <color rgb="FF000000"/>
        <rFont val="Noto Sans CJK SC"/>
        <family val="2"/>
      </rPr>
      <t xml:space="preserve">外牆 </t>
    </r>
    <r>
      <rPr>
        <sz val="10"/>
        <color rgb="FF000000"/>
        <rFont val="Arial"/>
        <family val="0"/>
        <charset val="1"/>
      </rPr>
      <t xml:space="preserve">20 cm</t>
    </r>
    <r>
      <rPr>
        <sz val="10"/>
        <color rgb="FF000000"/>
        <rFont val="Noto Sans CJK SC"/>
        <family val="2"/>
      </rPr>
      <t xml:space="preserve">（含模板、鋼筋）</t>
    </r>
  </si>
  <si>
    <r>
      <rPr>
        <sz val="9"/>
        <color rgb="FF5B6068"/>
        <rFont val="Noto Sans CJK SC"/>
        <family val="2"/>
      </rPr>
      <t xml:space="preserve">數量計算表 </t>
    </r>
    <r>
      <rPr>
        <sz val="9"/>
        <color rgb="FF5B6068"/>
        <rFont val="Arial"/>
        <family val="0"/>
        <charset val="1"/>
      </rPr>
      <t xml:space="preserve">RCWA</t>
    </r>
    <r>
      <rPr>
        <sz val="9"/>
        <color rgb="FF5B6068"/>
        <rFont val="Noto Sans CJK SC"/>
        <family val="2"/>
      </rPr>
      <t xml:space="preserve">；</t>
    </r>
    <r>
      <rPr>
        <sz val="9"/>
        <color rgb="FF5B6068"/>
        <rFont val="Arial"/>
        <family val="0"/>
        <charset val="1"/>
      </rPr>
      <t xml:space="preserve">9/4 </t>
    </r>
    <r>
      <rPr>
        <sz val="9"/>
        <color rgb="FF5B6068"/>
        <rFont val="Noto Sans CJK SC"/>
        <family val="2"/>
      </rPr>
      <t xml:space="preserve">回覆第 </t>
    </r>
    <r>
      <rPr>
        <sz val="9"/>
        <color rgb="FF5B6068"/>
        <rFont val="Arial"/>
        <family val="0"/>
        <charset val="1"/>
      </rPr>
      <t xml:space="preserve">5 </t>
    </r>
    <r>
      <rPr>
        <sz val="9"/>
        <color rgb="FF5B6068"/>
        <rFont val="Noto Sans CJK SC"/>
        <family val="2"/>
      </rPr>
      <t xml:space="preserve">點</t>
    </r>
  </si>
  <si>
    <t xml:space="preserve">3.2</t>
  </si>
  <si>
    <r>
      <rPr>
        <sz val="10"/>
        <color rgb="FF000000"/>
        <rFont val="Arial"/>
        <family val="0"/>
        <charset val="1"/>
      </rPr>
      <t xml:space="preserve">RC </t>
    </r>
    <r>
      <rPr>
        <sz val="10"/>
        <color rgb="FF000000"/>
        <rFont val="Noto Sans CJK SC"/>
        <family val="2"/>
      </rPr>
      <t xml:space="preserve">外牆外側粉刷＋防水漆</t>
    </r>
  </si>
  <si>
    <t xml:space="preserve">彈性防水漆</t>
  </si>
  <si>
    <t xml:space="preserve">3.3</t>
  </si>
  <si>
    <r>
      <rPr>
        <sz val="10"/>
        <color rgb="FF000000"/>
        <rFont val="Arial"/>
        <family val="0"/>
        <charset val="1"/>
      </rPr>
      <t xml:space="preserve">RC </t>
    </r>
    <r>
      <rPr>
        <sz val="10"/>
        <color rgb="FF000000"/>
        <rFont val="Noto Sans CJK SC"/>
        <family val="2"/>
      </rPr>
      <t xml:space="preserve">外牆內側粉刷＋油漆</t>
    </r>
  </si>
  <si>
    <t xml:space="preserve">3.4</t>
  </si>
  <si>
    <r>
      <rPr>
        <sz val="10"/>
        <color rgb="FF000000"/>
        <rFont val="Arial"/>
        <family val="0"/>
        <charset val="1"/>
      </rPr>
      <t xml:space="preserve">4F </t>
    </r>
    <r>
      <rPr>
        <sz val="10"/>
        <color rgb="FF000000"/>
        <rFont val="Noto Sans CJK SC"/>
        <family val="2"/>
      </rPr>
      <t xml:space="preserve">側牆 </t>
    </r>
    <r>
      <rPr>
        <sz val="10"/>
        <color rgb="FF000000"/>
        <rFont val="Arial"/>
        <family val="0"/>
        <charset val="1"/>
      </rPr>
      <t xml:space="preserve">Zincalum 2</t>
    </r>
    <r>
      <rPr>
        <sz val="10"/>
        <color rgb="FF000000"/>
        <rFont val="Noto Sans CJK SC"/>
        <family val="2"/>
      </rPr>
      <t xml:space="preserve">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板（含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型鋼牆桁）</t>
    </r>
  </si>
  <si>
    <r>
      <rPr>
        <sz val="9"/>
        <color rgb="FF5B6068"/>
        <rFont val="Noto Sans CJK SC"/>
        <family val="2"/>
      </rPr>
      <t xml:space="preserve">數量計算表 </t>
    </r>
    <r>
      <rPr>
        <sz val="9"/>
        <color rgb="FF5B6068"/>
        <rFont val="Arial"/>
        <family val="0"/>
        <charset val="1"/>
      </rPr>
      <t xml:space="preserve">ZWA</t>
    </r>
  </si>
  <si>
    <t xml:space="preserve">3.5</t>
  </si>
  <si>
    <r>
      <rPr>
        <sz val="10"/>
        <color rgb="FF000000"/>
        <rFont val="Noto Sans CJK SC"/>
        <family val="2"/>
      </rPr>
      <t xml:space="preserve">屋頂 </t>
    </r>
    <r>
      <rPr>
        <sz val="10"/>
        <color rgb="FF000000"/>
        <rFont val="Arial"/>
        <family val="0"/>
        <charset val="1"/>
      </rPr>
      <t xml:space="preserve">Zincalum 4</t>
    </r>
    <r>
      <rPr>
        <sz val="10"/>
        <color rgb="FF000000"/>
        <rFont val="Noto Sans CJK SC"/>
        <family val="2"/>
      </rPr>
      <t xml:space="preserve">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三明治板（含固定件、脊蓋）</t>
    </r>
  </si>
  <si>
    <r>
      <rPr>
        <sz val="9"/>
        <color rgb="FF5B6068"/>
        <rFont val="Noto Sans CJK SC"/>
        <family val="2"/>
      </rPr>
      <t xml:space="preserve">數量計算表 </t>
    </r>
    <r>
      <rPr>
        <sz val="9"/>
        <color rgb="FF5B6068"/>
        <rFont val="Arial"/>
        <family val="0"/>
        <charset val="1"/>
      </rPr>
      <t xml:space="preserve">ROOF</t>
    </r>
    <r>
      <rPr>
        <sz val="9"/>
        <color rgb="FF5B6068"/>
        <rFont val="Noto Sans CJK SC"/>
        <family val="2"/>
      </rPr>
      <t xml:space="preserve">；鎂板成分待 </t>
    </r>
    <r>
      <rPr>
        <sz val="9"/>
        <color rgb="FF5B6068"/>
        <rFont val="Arial"/>
        <family val="0"/>
        <charset val="1"/>
      </rPr>
      <t xml:space="preserve">S&amp;W </t>
    </r>
    <r>
      <rPr>
        <sz val="9"/>
        <color rgb="FF5B6068"/>
        <rFont val="Noto Sans CJK SC"/>
        <family val="2"/>
      </rPr>
      <t xml:space="preserve">第 </t>
    </r>
    <r>
      <rPr>
        <sz val="9"/>
        <color rgb="FF5B6068"/>
        <rFont val="Arial"/>
        <family val="0"/>
        <charset val="1"/>
      </rPr>
      <t xml:space="preserve">2 </t>
    </r>
    <r>
      <rPr>
        <sz val="9"/>
        <color rgb="FF5B6068"/>
        <rFont val="Noto Sans CJK SC"/>
        <family val="2"/>
      </rPr>
      <t xml:space="preserve">階段確認（</t>
    </r>
    <r>
      <rPr>
        <sz val="9"/>
        <color rgb="FF5B6068"/>
        <rFont val="Arial"/>
        <family val="0"/>
        <charset val="1"/>
      </rPr>
      <t xml:space="preserve">RFI 19</t>
    </r>
    <r>
      <rPr>
        <sz val="9"/>
        <color rgb="FF5B6068"/>
        <rFont val="Noto Sans CJK SC"/>
        <family val="2"/>
      </rPr>
      <t xml:space="preserve">）</t>
    </r>
  </si>
  <si>
    <t xml:space="preserve">3.6</t>
  </si>
  <si>
    <r>
      <rPr>
        <sz val="10"/>
        <color rgb="FF000000"/>
        <rFont val="Noto Sans CJK SC"/>
        <family val="2"/>
      </rPr>
      <t xml:space="preserve">屋頂鋼桁條與天溝（時雨量 </t>
    </r>
    <r>
      <rPr>
        <sz val="10"/>
        <color rgb="FF000000"/>
        <rFont val="Arial"/>
        <family val="0"/>
        <charset val="1"/>
      </rPr>
      <t xml:space="preserve">120 mm/h</t>
    </r>
    <r>
      <rPr>
        <sz val="10"/>
        <color rgb="FF000000"/>
        <rFont val="Noto Sans CJK SC"/>
        <family val="2"/>
      </rPr>
      <t xml:space="preserve">）、落水管</t>
    </r>
  </si>
  <si>
    <r>
      <rPr>
        <sz val="9"/>
        <color rgb="FF5B6068"/>
        <rFont val="Noto Sans CJK SC"/>
        <family val="2"/>
      </rPr>
      <t xml:space="preserve">桁條 </t>
    </r>
    <r>
      <rPr>
        <sz val="9"/>
        <color rgb="FF5B6068"/>
        <rFont val="Arial"/>
        <family val="0"/>
        <charset val="1"/>
      </rPr>
      <t xml:space="preserve">8 kg/m² × STL + </t>
    </r>
    <r>
      <rPr>
        <sz val="9"/>
        <color rgb="FF5B6068"/>
        <rFont val="Noto Sans CJK SC"/>
        <family val="2"/>
      </rPr>
      <t xml:space="preserve">天溝</t>
    </r>
  </si>
  <si>
    <t xml:space="preserve">3.7</t>
  </si>
  <si>
    <t xml:space="preserve">鐵捲門＋小門</t>
  </si>
  <si>
    <t xml:space="preserve">樘</t>
  </si>
  <si>
    <r>
      <rPr>
        <sz val="9"/>
        <color rgb="FF5B6068"/>
        <rFont val="Arial"/>
        <family val="0"/>
        <charset val="1"/>
      </rPr>
      <t xml:space="preserve">P0A30031</t>
    </r>
    <r>
      <rPr>
        <sz val="9"/>
        <color rgb="FF5B6068"/>
        <rFont val="Noto Sans CJK SC"/>
        <family val="2"/>
      </rPr>
      <t xml:space="preserve">：西側 </t>
    </r>
    <r>
      <rPr>
        <sz val="9"/>
        <color rgb="FF5B6068"/>
        <rFont val="Arial"/>
        <family val="0"/>
        <charset val="1"/>
      </rPr>
      <t xml:space="preserve">3 </t>
    </r>
    <r>
      <rPr>
        <sz val="9"/>
        <color rgb="FF5B6068"/>
        <rFont val="Noto Sans CJK SC"/>
        <family val="2"/>
      </rPr>
      <t xml:space="preserve">樘、東側 </t>
    </r>
    <r>
      <rPr>
        <sz val="9"/>
        <color rgb="FF5B6068"/>
        <rFont val="Arial"/>
        <family val="0"/>
        <charset val="1"/>
      </rPr>
      <t xml:space="preserve">2 </t>
    </r>
    <r>
      <rPr>
        <sz val="9"/>
        <color rgb="FF5B6068"/>
        <rFont val="Noto Sans CJK SC"/>
        <family val="2"/>
      </rPr>
      <t xml:space="preserve">樘、北側 </t>
    </r>
    <r>
      <rPr>
        <sz val="9"/>
        <color rgb="FF5B6068"/>
        <rFont val="Arial"/>
        <family val="0"/>
        <charset val="1"/>
      </rPr>
      <t xml:space="preserve">1 </t>
    </r>
    <r>
      <rPr>
        <sz val="9"/>
        <color rgb="FF5B6068"/>
        <rFont val="Noto Sans CJK SC"/>
        <family val="2"/>
      </rPr>
      <t xml:space="preserve">樘</t>
    </r>
  </si>
  <si>
    <t xml:space="preserve">3.8</t>
  </si>
  <si>
    <t xml:space="preserve">快速捲門（互鎖控制）</t>
  </si>
  <si>
    <r>
      <rPr>
        <sz val="9"/>
        <color rgb="FF5B6068"/>
        <rFont val="Arial"/>
        <family val="0"/>
        <charset val="1"/>
      </rPr>
      <t xml:space="preserve">9/4 </t>
    </r>
    <r>
      <rPr>
        <sz val="9"/>
        <color rgb="FF5B6068"/>
        <rFont val="Noto Sans CJK SC"/>
        <family val="2"/>
      </rPr>
      <t xml:space="preserve">回覆第 </t>
    </r>
    <r>
      <rPr>
        <sz val="9"/>
        <color rgb="FF5B6068"/>
        <rFont val="Arial"/>
        <family val="0"/>
        <charset val="1"/>
      </rPr>
      <t xml:space="preserve">9 </t>
    </r>
    <r>
      <rPr>
        <sz val="9"/>
        <color rgb="FF5B6068"/>
        <rFont val="Noto Sans CJK SC"/>
        <family val="2"/>
      </rPr>
      <t xml:space="preserve">點：空調廠房用快速捲門 </t>
    </r>
    <r>
      <rPr>
        <sz val="9"/>
        <color rgb="FF5B6068"/>
        <rFont val="Arial"/>
        <family val="0"/>
        <charset val="1"/>
      </rPr>
      <t xml:space="preserve">50–100 cm/s</t>
    </r>
  </si>
  <si>
    <t xml:space="preserve">3.9</t>
  </si>
  <si>
    <t xml:space="preserve">外牆門窗（鋁窗、鋼門）</t>
  </si>
  <si>
    <t xml:space="preserve">式</t>
  </si>
  <si>
    <r>
      <rPr>
        <sz val="9"/>
        <color rgb="FF5B6068"/>
        <rFont val="Arial"/>
        <family val="0"/>
        <charset val="1"/>
      </rPr>
      <t xml:space="preserve">1F </t>
    </r>
    <r>
      <rPr>
        <sz val="9"/>
        <color rgb="FF5B6068"/>
        <rFont val="Noto Sans CJK SC"/>
        <family val="2"/>
      </rPr>
      <t xml:space="preserve">辦公／控制室窗、逃生門、樓梯間門</t>
    </r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</si>
  <si>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3. </t>
    </r>
    <r>
      <rPr>
        <b val="true"/>
        <sz val="10"/>
        <color rgb="FF000000"/>
        <rFont val="Noto Sans CJK SC"/>
        <family val="2"/>
      </rPr>
      <t xml:space="preserve">外殼（依 </t>
    </r>
    <r>
      <rPr>
        <b val="true"/>
        <sz val="10"/>
        <color rgb="FF000000"/>
        <rFont val="Arial"/>
        <family val="0"/>
        <charset val="1"/>
      </rPr>
      <t xml:space="preserve">9/4 </t>
    </r>
    <r>
      <rPr>
        <b val="true"/>
        <sz val="10"/>
        <color rgb="FF000000"/>
        <rFont val="Noto Sans CJK SC"/>
        <family val="2"/>
      </rPr>
      <t xml:space="preserve">回覆：</t>
    </r>
    <r>
      <rPr>
        <b val="true"/>
        <sz val="10"/>
        <color rgb="FF000000"/>
        <rFont val="Arial"/>
        <family val="0"/>
        <charset val="1"/>
      </rPr>
      <t xml:space="preserve">1–3F RC </t>
    </r>
    <r>
      <rPr>
        <b val="true"/>
        <sz val="10"/>
        <color rgb="FF000000"/>
        <rFont val="Noto Sans CJK SC"/>
        <family val="2"/>
      </rPr>
      <t xml:space="preserve">外牆、</t>
    </r>
    <r>
      <rPr>
        <b val="true"/>
        <sz val="10"/>
        <color rgb="FF000000"/>
        <rFont val="Arial"/>
        <family val="0"/>
        <charset val="1"/>
      </rPr>
      <t xml:space="preserve">4F Zincalum</t>
    </r>
    <r>
      <rPr>
        <b val="true"/>
        <sz val="10"/>
        <color rgb="FF000000"/>
        <rFont val="Noto Sans CJK SC"/>
        <family val="2"/>
      </rPr>
      <t xml:space="preserve">、屋頂 </t>
    </r>
    <r>
      <rPr>
        <b val="true"/>
        <sz val="10"/>
        <color rgb="FF000000"/>
        <rFont val="Arial"/>
        <family val="0"/>
        <charset val="1"/>
      </rPr>
      <t xml:space="preserve">4</t>
    </r>
    <r>
      <rPr>
        <b val="true"/>
        <sz val="10"/>
        <color rgb="FF000000"/>
        <rFont val="Noto Sans CJK SC"/>
        <family val="2"/>
      </rPr>
      <t xml:space="preserve">合</t>
    </r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</si>
  <si>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內部裝修</t>
  </si>
  <si>
    <t xml:space="preserve">4.1</t>
  </si>
  <si>
    <r>
      <rPr>
        <sz val="10"/>
        <color rgb="FF000000"/>
        <rFont val="Noto Sans CJK SC"/>
        <family val="2"/>
      </rPr>
      <t xml:space="preserve">砌磚隔間 </t>
    </r>
    <r>
      <rPr>
        <sz val="10"/>
        <color rgb="FF000000"/>
        <rFont val="Arial"/>
        <family val="0"/>
        <charset val="1"/>
      </rPr>
      <t xml:space="preserve">15 cm</t>
    </r>
    <r>
      <rPr>
        <sz val="10"/>
        <color rgb="FF000000"/>
        <rFont val="Noto Sans CJK SC"/>
        <family val="2"/>
      </rPr>
      <t xml:space="preserve">（含樓梯間；</t>
    </r>
    <r>
      <rPr>
        <sz val="10"/>
        <color rgb="FF000000"/>
        <rFont val="Arial"/>
        <family val="0"/>
        <charset val="1"/>
      </rPr>
      <t xml:space="preserve">1–4F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</si>
  <si>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Arial"/>
        <family val="0"/>
        <charset val="1"/>
      </rPr>
      <t xml:space="preserve">9/4 </t>
    </r>
    <r>
      <rPr>
        <sz val="9"/>
        <color rgb="FF5B6068"/>
        <rFont val="Noto Sans CJK SC"/>
        <family val="2"/>
      </rPr>
      <t xml:space="preserve">回覆第 </t>
    </r>
    <r>
      <rPr>
        <sz val="9"/>
        <color rgb="FF5B6068"/>
        <rFont val="Arial"/>
        <family val="0"/>
        <charset val="1"/>
      </rPr>
      <t xml:space="preserve">6 </t>
    </r>
    <r>
      <rPr>
        <sz val="9"/>
        <color rgb="FF5B6068"/>
        <rFont val="Noto Sans CJK SC"/>
        <family val="2"/>
      </rPr>
      <t xml:space="preserve">點；數量計算表 </t>
    </r>
    <r>
      <rPr>
        <sz val="9"/>
        <color rgb="FF5B6068"/>
        <rFont val="Arial"/>
        <family val="0"/>
        <charset val="1"/>
      </rPr>
      <t xml:space="preserve">BRKA</t>
    </r>
  </si>
  <si>
    <t xml:space="preserve">4.2</t>
  </si>
  <si>
    <t xml:space="preserve">隔間雙面粉刷＋油漆</t>
  </si>
  <si>
    <t xml:space="preserve">4.3</t>
  </si>
  <si>
    <r>
      <rPr>
        <sz val="10"/>
        <color rgb="FF000000"/>
        <rFont val="Noto Sans CJK SC"/>
        <family val="2"/>
      </rPr>
      <t xml:space="preserve">樓板面層：</t>
    </r>
    <r>
      <rPr>
        <sz val="10"/>
        <color rgb="FF000000"/>
        <rFont val="Arial"/>
        <family val="0"/>
        <charset val="1"/>
      </rPr>
      <t xml:space="preserve">2F–4F </t>
    </r>
    <r>
      <rPr>
        <sz val="10"/>
        <color rgb="FF000000"/>
        <rFont val="Noto Sans CJK SC"/>
        <family val="2"/>
      </rPr>
      <t xml:space="preserve">環氧樹脂／硬化面層</t>
    </r>
  </si>
  <si>
    <r>
      <rPr>
        <sz val="9"/>
        <color rgb="FF5B6068"/>
        <rFont val="Arial"/>
        <family val="0"/>
        <charset val="1"/>
      </rPr>
      <t xml:space="preserve">IFC </t>
    </r>
    <r>
      <rPr>
        <sz val="9"/>
        <color rgb="FF5B6068"/>
        <rFont val="Noto Sans CJK SC"/>
        <family val="2"/>
      </rPr>
      <t xml:space="preserve">樓板面積（體積 </t>
    </r>
    <r>
      <rPr>
        <sz val="9"/>
        <color rgb="FF5B6068"/>
        <rFont val="Arial"/>
        <family val="0"/>
        <charset val="1"/>
      </rPr>
      <t xml:space="preserve">÷ 0.2 m</t>
    </r>
    <r>
      <rPr>
        <sz val="9"/>
        <color rgb="FF5B6068"/>
        <rFont val="Noto Sans CJK SC"/>
        <family val="2"/>
      </rPr>
      <t xml:space="preserve">）</t>
    </r>
  </si>
  <si>
    <t xml:space="preserve">4.4</t>
  </si>
  <si>
    <r>
      <rPr>
        <sz val="10"/>
        <color rgb="FF000000"/>
        <rFont val="Noto Sans CJK SC"/>
        <family val="2"/>
      </rPr>
      <t xml:space="preserve">廁所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處（</t>
    </r>
    <r>
      <rPr>
        <sz val="10"/>
        <color rgb="FF000000"/>
        <rFont val="Arial"/>
        <family val="0"/>
        <charset val="1"/>
      </rPr>
      <t xml:space="preserve">1F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1.5F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3F </t>
    </r>
    <r>
      <rPr>
        <sz val="10"/>
        <color rgb="FF000000"/>
        <rFont val="Noto Sans CJK SC"/>
        <family val="2"/>
      </rPr>
      <t xml:space="preserve">樓梯平台）</t>
    </r>
  </si>
  <si>
    <t xml:space="preserve">處</t>
  </si>
  <si>
    <r>
      <rPr>
        <sz val="9"/>
        <color rgb="FF5B6068"/>
        <rFont val="Arial"/>
        <family val="0"/>
        <charset val="1"/>
      </rPr>
      <t xml:space="preserve">9/4 </t>
    </r>
    <r>
      <rPr>
        <sz val="9"/>
        <color rgb="FF5B6068"/>
        <rFont val="Noto Sans CJK SC"/>
        <family val="2"/>
      </rPr>
      <t xml:space="preserve">回覆第 </t>
    </r>
    <r>
      <rPr>
        <sz val="9"/>
        <color rgb="FF5B6068"/>
        <rFont val="Arial"/>
        <family val="0"/>
        <charset val="1"/>
      </rPr>
      <t xml:space="preserve">11 </t>
    </r>
    <r>
      <rPr>
        <sz val="9"/>
        <color rgb="FF5B6068"/>
        <rFont val="Noto Sans CJK SC"/>
        <family val="2"/>
      </rPr>
      <t xml:space="preserve">點</t>
    </r>
  </si>
  <si>
    <t xml:space="preserve">4.5</t>
  </si>
  <si>
    <r>
      <rPr>
        <sz val="10"/>
        <color rgb="FF000000"/>
        <rFont val="Noto Sans CJK SC"/>
        <family val="2"/>
      </rPr>
      <t xml:space="preserve">天花板／辦公區裝修（</t>
    </r>
    <r>
      <rPr>
        <sz val="10"/>
        <color rgb="FF000000"/>
        <rFont val="Arial"/>
        <family val="0"/>
        <charset val="1"/>
      </rPr>
      <t xml:space="preserve">1F </t>
    </r>
    <r>
      <rPr>
        <sz val="10"/>
        <color rgb="FF000000"/>
        <rFont val="Noto Sans CJK SC"/>
        <family val="2"/>
      </rPr>
      <t xml:space="preserve">辦公室、控制室、會議室）</t>
    </r>
  </si>
  <si>
    <r>
      <rPr>
        <sz val="9"/>
        <color rgb="FF5B6068"/>
        <rFont val="Arial"/>
        <family val="0"/>
        <charset val="1"/>
      </rPr>
      <t xml:space="preserve">P0A30031/41 </t>
    </r>
    <r>
      <rPr>
        <sz val="9"/>
        <color rgb="FF5B6068"/>
        <rFont val="Noto Sans CJK SC"/>
        <family val="2"/>
      </rPr>
      <t xml:space="preserve">標註房間</t>
    </r>
  </si>
  <si>
    <t xml:space="preserve">4.6</t>
  </si>
  <si>
    <t xml:space="preserve">樓梯扶手、欄杆、屋頂維修梯（電梯機房）</t>
  </si>
  <si>
    <r>
      <rPr>
        <sz val="9"/>
        <color rgb="FF5B6068"/>
        <rFont val="Arial"/>
        <family val="0"/>
        <charset val="1"/>
      </rPr>
      <t xml:space="preserve">9/4 </t>
    </r>
    <r>
      <rPr>
        <sz val="9"/>
        <color rgb="FF5B6068"/>
        <rFont val="Noto Sans CJK SC"/>
        <family val="2"/>
      </rPr>
      <t xml:space="preserve">回覆第 </t>
    </r>
    <r>
      <rPr>
        <sz val="9"/>
        <color rgb="FF5B6068"/>
        <rFont val="Arial"/>
        <family val="0"/>
        <charset val="1"/>
      </rPr>
      <t xml:space="preserve">3 </t>
    </r>
    <r>
      <rPr>
        <sz val="9"/>
        <color rgb="FF5B6068"/>
        <rFont val="Noto Sans CJK SC"/>
        <family val="2"/>
      </rPr>
      <t xml:space="preserve">點：電梯機房維修樓梯</t>
    </r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</si>
  <si>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4. </t>
    </r>
    <r>
      <rPr>
        <b val="true"/>
        <sz val="10"/>
        <color rgb="FF000000"/>
        <rFont val="Noto Sans CJK SC"/>
        <family val="2"/>
      </rPr>
      <t xml:space="preserve">內部裝修</t>
    </r>
  </si>
  <si>
    <t xml:space="preserve">垂直運輸</t>
  </si>
  <si>
    <t xml:space="preserve">5.1</t>
  </si>
  <si>
    <r>
      <rPr>
        <sz val="10"/>
        <color rgb="FF000000"/>
        <rFont val="Noto Sans CJK SC"/>
        <family val="2"/>
      </rPr>
      <t xml:space="preserve">貨梯 </t>
    </r>
    <r>
      <rPr>
        <sz val="10"/>
        <color rgb="FF000000"/>
        <rFont val="Arial"/>
        <family val="0"/>
        <charset val="1"/>
      </rPr>
      <t xml:space="preserve">3,000 kg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站（東北、西南各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台）</t>
    </r>
  </si>
  <si>
    <t xml:space="preserve">台</t>
  </si>
  <si>
    <r>
      <rPr>
        <sz val="9"/>
        <color rgb="FF5B6068"/>
        <rFont val="Arial"/>
        <family val="0"/>
        <charset val="1"/>
      </rPr>
      <t xml:space="preserve">P0A30011 </t>
    </r>
    <r>
      <rPr>
        <sz val="9"/>
        <color rgb="FF5B6068"/>
        <rFont val="Noto Sans CJK SC"/>
        <family val="2"/>
      </rPr>
      <t xml:space="preserve">標示 </t>
    </r>
    <r>
      <rPr>
        <sz val="9"/>
        <color rgb="FF5B6068"/>
        <rFont val="Arial"/>
        <family val="0"/>
        <charset val="1"/>
      </rPr>
      <t xml:space="preserve">3000KG </t>
    </r>
    <r>
      <rPr>
        <sz val="9"/>
        <color rgb="FF5B6068"/>
        <rFont val="Noto Sans CJK SC"/>
        <family val="2"/>
      </rPr>
      <t xml:space="preserve">電梯 </t>
    </r>
    <r>
      <rPr>
        <sz val="9"/>
        <color rgb="FF5B6068"/>
        <rFont val="Arial"/>
        <family val="0"/>
        <charset val="1"/>
      </rPr>
      <t xml:space="preserve">×2</t>
    </r>
    <r>
      <rPr>
        <sz val="9"/>
        <color rgb="FF5B6068"/>
        <rFont val="Noto Sans CJK SC"/>
        <family val="2"/>
      </rPr>
      <t xml:space="preserve">；</t>
    </r>
    <r>
      <rPr>
        <sz val="9"/>
        <color rgb="FF5B6068"/>
        <rFont val="Arial"/>
        <family val="0"/>
        <charset val="1"/>
      </rPr>
      <t xml:space="preserve">ACELON </t>
    </r>
    <r>
      <rPr>
        <sz val="9"/>
        <color rgb="FF5B6068"/>
        <rFont val="Noto Sans CJK SC"/>
        <family val="2"/>
      </rPr>
      <t xml:space="preserve">概算 </t>
    </r>
    <r>
      <rPr>
        <sz val="9"/>
        <color rgb="FF5B6068"/>
        <rFont val="Arial"/>
        <family val="0"/>
        <charset val="1"/>
      </rPr>
      <t xml:space="preserve">NT$1,600,000/</t>
    </r>
    <r>
      <rPr>
        <sz val="9"/>
        <color rgb="FF5B6068"/>
        <rFont val="Noto Sans CJK SC"/>
        <family val="2"/>
      </rPr>
      <t xml:space="preserve">台</t>
    </r>
  </si>
  <si>
    <t xml:space="preserve">5.2</t>
  </si>
  <si>
    <r>
      <rPr>
        <sz val="10"/>
        <color rgb="FF000000"/>
        <rFont val="Noto Sans CJK SC"/>
        <family val="2"/>
      </rPr>
      <t xml:space="preserve">電梯井道 </t>
    </r>
    <r>
      <rPr>
        <sz val="10"/>
        <color rgb="FF000000"/>
        <rFont val="Arial"/>
        <family val="0"/>
        <charset val="1"/>
      </rPr>
      <t xml:space="preserve">RC</t>
    </r>
    <r>
      <rPr>
        <sz val="10"/>
        <color rgb="FF000000"/>
        <rFont val="Noto Sans CJK SC"/>
        <family val="2"/>
      </rPr>
      <t xml:space="preserve">、機房、坑底防水</t>
    </r>
  </si>
  <si>
    <r>
      <rPr>
        <sz val="9"/>
        <color rgb="FF5B6068"/>
        <rFont val="Noto Sans CJK SC"/>
        <family val="2"/>
      </rPr>
      <t xml:space="preserve">井道混凝土已含於 </t>
    </r>
    <r>
      <rPr>
        <sz val="9"/>
        <color rgb="FF5B6068"/>
        <rFont val="Arial"/>
        <family val="0"/>
        <charset val="1"/>
      </rPr>
      <t xml:space="preserve">IFC</t>
    </r>
    <r>
      <rPr>
        <sz val="9"/>
        <color rgb="FF5B6068"/>
        <rFont val="Noto Sans CJK SC"/>
        <family val="2"/>
      </rPr>
      <t xml:space="preserve">；此為機房設備基礎、坑底、門框</t>
    </r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</si>
  <si>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5. </t>
    </r>
    <r>
      <rPr>
        <b val="true"/>
        <sz val="10"/>
        <color rgb="FF000000"/>
        <rFont val="Noto Sans CJK SC"/>
        <family val="2"/>
      </rPr>
      <t xml:space="preserve">垂直運輸</t>
    </r>
  </si>
  <si>
    <t xml:space="preserve">建築機電（五大管線：電氣、電信、給排水、消防；不含製程）</t>
  </si>
  <si>
    <t xml:space="preserve">6.1</t>
  </si>
  <si>
    <t xml:space="preserve">電氣—建築用電配電、幹線、插座、接地</t>
  </si>
  <si>
    <r>
      <rPr>
        <sz val="9"/>
        <color rgb="FF5B6068"/>
        <rFont val="Arial"/>
        <family val="0"/>
        <charset val="1"/>
      </rPr>
      <t xml:space="preserve">9/4 </t>
    </r>
    <r>
      <rPr>
        <sz val="9"/>
        <color rgb="FF5B6068"/>
        <rFont val="Noto Sans CJK SC"/>
        <family val="2"/>
      </rPr>
      <t xml:space="preserve">回覆第 </t>
    </r>
    <r>
      <rPr>
        <sz val="9"/>
        <color rgb="FF5B6068"/>
        <rFont val="Arial"/>
        <family val="0"/>
        <charset val="1"/>
      </rPr>
      <t xml:space="preserve">4 </t>
    </r>
    <r>
      <rPr>
        <sz val="9"/>
        <color rgb="FF5B6068"/>
        <rFont val="Noto Sans CJK SC"/>
        <family val="2"/>
      </rPr>
      <t xml:space="preserve">點</t>
    </r>
  </si>
  <si>
    <t xml:space="preserve">6.2</t>
  </si>
  <si>
    <t xml:space="preserve">照明</t>
  </si>
  <si>
    <t xml:space="preserve">6.3</t>
  </si>
  <si>
    <t xml:space="preserve">6.4</t>
  </si>
  <si>
    <t xml:space="preserve">給排水（建築用）</t>
  </si>
  <si>
    <t xml:space="preserve">6.5</t>
  </si>
  <si>
    <t xml:space="preserve">消防（消防栓、灑水、警報）</t>
  </si>
  <si>
    <t xml:space="preserve">6.6</t>
  </si>
  <si>
    <t xml:space="preserve">一般通風／排煙</t>
  </si>
  <si>
    <r>
      <rPr>
        <sz val="9"/>
        <color rgb="FF5B6068"/>
        <rFont val="Noto Sans CJK SC"/>
        <family val="2"/>
      </rPr>
      <t xml:space="preserve">製程空調（</t>
    </r>
    <r>
      <rPr>
        <sz val="9"/>
        <color rgb="FF5B6068"/>
        <rFont val="Arial"/>
        <family val="0"/>
        <charset val="1"/>
      </rPr>
      <t xml:space="preserve">T/U </t>
    </r>
    <r>
      <rPr>
        <sz val="9"/>
        <color rgb="FF5B6068"/>
        <rFont val="Noto Sans CJK SC"/>
        <family val="2"/>
      </rPr>
      <t xml:space="preserve">風管、冷凍水 </t>
    </r>
    <r>
      <rPr>
        <sz val="9"/>
        <color rgb="FF5B6068"/>
        <rFont val="Arial"/>
        <family val="0"/>
        <charset val="1"/>
      </rPr>
      <t xml:space="preserve">10"</t>
    </r>
    <r>
      <rPr>
        <sz val="9"/>
        <color rgb="FF5B6068"/>
        <rFont val="Noto Sans CJK SC"/>
        <family val="2"/>
      </rPr>
      <t xml:space="preserve">）由 </t>
    </r>
    <r>
      <rPr>
        <sz val="9"/>
        <color rgb="FF5B6068"/>
        <rFont val="Arial"/>
        <family val="0"/>
        <charset val="1"/>
      </rPr>
      <t xml:space="preserve">ACELON </t>
    </r>
    <r>
      <rPr>
        <sz val="9"/>
        <color rgb="FF5B6068"/>
        <rFont val="Noto Sans CJK SC"/>
        <family val="2"/>
      </rPr>
      <t xml:space="preserve">設備商負責，未計</t>
    </r>
  </si>
  <si>
    <t xml:space="preserve">6.7</t>
  </si>
  <si>
    <t xml:space="preserve">避雷與接地系統</t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</si>
  <si>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6. </t>
    </r>
    <r>
      <rPr>
        <b val="true"/>
        <sz val="10"/>
        <color rgb="FF000000"/>
        <rFont val="Noto Sans CJK SC"/>
        <family val="2"/>
      </rPr>
      <t xml:space="preserve">建築機電（五大管線：電氣、電信、給排水、消防；不含製程）</t>
    </r>
  </si>
  <si>
    <r>
      <rPr>
        <b val="true"/>
        <sz val="11"/>
        <color rgb="FF000000"/>
        <rFont val="Noto Sans CJK SC"/>
        <family val="2"/>
      </rPr>
      <t xml:space="preserve">直接成本合計 </t>
    </r>
    <r>
      <rPr>
        <b val="true"/>
        <sz val="11"/>
        <color rgb="FF000000"/>
        <rFont val="Arial"/>
        <family val="0"/>
        <charset val="1"/>
      </rPr>
      <t xml:space="preserve">(USD)</t>
    </r>
  </si>
  <si>
    <r>
      <rPr>
        <b val="true"/>
        <sz val="14"/>
        <color rgb="FF000000"/>
        <rFont val="Noto Sans CJK SC"/>
        <family val="2"/>
      </rPr>
      <t xml:space="preserve">假撚廠房 </t>
    </r>
    <r>
      <rPr>
        <b val="true"/>
        <sz val="14"/>
        <color rgb="FF000000"/>
        <rFont val="Arial"/>
        <family val="0"/>
        <charset val="1"/>
      </rPr>
      <t xml:space="preserve">DTY</t>
    </r>
    <r>
      <rPr>
        <b val="true"/>
        <sz val="14"/>
        <color rgb="FF000000"/>
        <rFont val="Noto Sans CJK SC"/>
        <family val="2"/>
      </rPr>
      <t xml:space="preserve">（</t>
    </r>
    <r>
      <rPr>
        <b val="true"/>
        <sz val="14"/>
        <color rgb="FF000000"/>
        <rFont val="Arial"/>
        <family val="0"/>
        <charset val="1"/>
      </rPr>
      <t xml:space="preserve">58 × 73.4 m</t>
    </r>
    <r>
      <rPr>
        <b val="true"/>
        <sz val="14"/>
        <color rgb="FF000000"/>
        <rFont val="Noto Sans CJK SC"/>
        <family val="2"/>
      </rPr>
      <t xml:space="preserve">，鋼構 </t>
    </r>
    <r>
      <rPr>
        <b val="true"/>
        <sz val="14"/>
        <color rgb="FF000000"/>
        <rFont val="Arial"/>
        <family val="0"/>
        <charset val="1"/>
      </rPr>
      <t xml:space="preserve">2 </t>
    </r>
    <r>
      <rPr>
        <b val="true"/>
        <sz val="14"/>
        <color rgb="FF000000"/>
        <rFont val="Noto Sans CJK SC"/>
        <family val="2"/>
      </rPr>
      <t xml:space="preserve">層，</t>
    </r>
    <r>
      <rPr>
        <b val="true"/>
        <sz val="14"/>
        <color rgb="FF000000"/>
        <rFont val="Arial"/>
        <family val="0"/>
        <charset val="1"/>
      </rPr>
      <t xml:space="preserve">GFA 4,700 m²</t>
    </r>
    <r>
      <rPr>
        <b val="true"/>
        <sz val="14"/>
        <color rgb="FF000000"/>
        <rFont val="Noto Sans CJK SC"/>
        <family val="2"/>
      </rPr>
      <t xml:space="preserve">）— 直接成本明細</t>
    </r>
  </si>
  <si>
    <r>
      <rPr>
        <i val="true"/>
        <sz val="10"/>
        <color rgb="FF5B6068"/>
        <rFont val="Noto Sans CJK SC"/>
        <family val="2"/>
      </rPr>
      <t xml:space="preserve">尚無 </t>
    </r>
    <r>
      <rPr>
        <i val="true"/>
        <sz val="10"/>
        <color rgb="FF5B6068"/>
        <rFont val="Arial"/>
        <family val="0"/>
        <charset val="1"/>
      </rPr>
      <t xml:space="preserve">Salum &amp; Wenz </t>
    </r>
    <r>
      <rPr>
        <i val="true"/>
        <sz val="10"/>
        <color rgb="FF5B6068"/>
        <rFont val="Noto Sans CJK SC"/>
        <family val="2"/>
      </rPr>
      <t xml:space="preserve">圖說；數量依總平面圖 </t>
    </r>
    <r>
      <rPr>
        <i val="true"/>
        <sz val="10"/>
        <color rgb="FF5B6068"/>
        <rFont val="Arial"/>
        <family val="0"/>
        <charset val="1"/>
      </rPr>
      <t xml:space="preserve">P0A30011 </t>
    </r>
    <r>
      <rPr>
        <i val="true"/>
        <sz val="10"/>
        <color rgb="FF5B6068"/>
        <rFont val="Noto Sans CJK SC"/>
        <family val="2"/>
      </rPr>
      <t xml:space="preserve">與概算表規格推算。</t>
    </r>
  </si>
  <si>
    <t xml:space="preserve">柱基礎開挖、回填</t>
  </si>
  <si>
    <r>
      <rPr>
        <sz val="9"/>
        <color rgb="FF5B6068"/>
        <rFont val="Arial"/>
        <family val="0"/>
        <charset val="1"/>
      </rPr>
      <t xml:space="preserve">8 × 9 </t>
    </r>
    <r>
      <rPr>
        <sz val="9"/>
        <color rgb="FF5B6068"/>
        <rFont val="Noto Sans CJK SC"/>
        <family val="2"/>
      </rPr>
      <t xml:space="preserve">柱位 </t>
    </r>
    <r>
      <rPr>
        <sz val="9"/>
        <color rgb="FF5B6068"/>
        <rFont val="Arial"/>
        <family val="0"/>
        <charset val="1"/>
      </rPr>
      <t xml:space="preserve">= 72 </t>
    </r>
    <r>
      <rPr>
        <sz val="9"/>
        <color rgb="FF5B6068"/>
        <rFont val="Noto Sans CJK SC"/>
        <family val="2"/>
      </rPr>
      <t xml:space="preserve">座</t>
    </r>
  </si>
  <si>
    <t xml:space="preserve">墊層混凝土</t>
  </si>
  <si>
    <r>
      <rPr>
        <sz val="10"/>
        <color rgb="FF000000"/>
        <rFont val="Noto Sans CJK SC"/>
        <family val="2"/>
      </rPr>
      <t xml:space="preserve">柱基礎 </t>
    </r>
    <r>
      <rPr>
        <sz val="10"/>
        <color rgb="FF000000"/>
        <rFont val="Arial"/>
        <family val="0"/>
        <charset val="1"/>
      </rPr>
      <t xml:space="preserve">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座 </t>
    </r>
    <r>
      <rPr>
        <sz val="10"/>
        <color rgb="FF000000"/>
        <rFont val="Arial"/>
        <family val="0"/>
        <charset val="1"/>
      </rPr>
      <t xml:space="preserve">× 3.0×3.0×0.8 + </t>
    </r>
    <r>
      <rPr>
        <sz val="10"/>
        <color rgb="FF000000"/>
        <rFont val="Noto Sans CJK SC"/>
        <family val="2"/>
      </rPr>
      <t xml:space="preserve">短柱）</t>
    </r>
  </si>
  <si>
    <r>
      <rPr>
        <sz val="9"/>
        <color rgb="FF5B6068"/>
        <rFont val="Arial"/>
        <family val="0"/>
        <charset val="1"/>
      </rPr>
      <t xml:space="preserve">58 m </t>
    </r>
    <r>
      <rPr>
        <sz val="9"/>
        <color rgb="FF5B6068"/>
        <rFont val="Noto Sans CJK SC"/>
        <family val="2"/>
      </rPr>
      <t xml:space="preserve">寬雙跨鋼構、簷高 </t>
    </r>
    <r>
      <rPr>
        <sz val="9"/>
        <color rgb="FF5B6068"/>
        <rFont val="Arial"/>
        <family val="0"/>
        <charset val="1"/>
      </rPr>
      <t xml:space="preserve">11 m</t>
    </r>
  </si>
  <si>
    <r>
      <rPr>
        <sz val="10"/>
        <color rgb="FF000000"/>
        <rFont val="Noto Sans CJK SC"/>
        <family val="2"/>
      </rPr>
      <t xml:space="preserve">基礎鋼筋（</t>
    </r>
    <r>
      <rPr>
        <sz val="10"/>
        <color rgb="FF000000"/>
        <rFont val="Arial"/>
        <family val="0"/>
        <charset val="1"/>
      </rPr>
      <t xml:space="preserve">60 kg/m³</t>
    </r>
    <r>
      <rPr>
        <sz val="10"/>
        <color rgb="FF000000"/>
        <rFont val="Noto Sans CJK SC"/>
        <family val="2"/>
      </rPr>
      <t xml:space="preserve">）</t>
    </r>
  </si>
  <si>
    <t xml:space="preserve">基礎模板</t>
  </si>
  <si>
    <t xml:space="preserve">地樑（周邊與夾層下）</t>
  </si>
  <si>
    <r>
      <rPr>
        <sz val="9"/>
        <color rgb="FF5B6068"/>
        <rFont val="Noto Sans CJK SC"/>
        <family val="2"/>
      </rPr>
      <t xml:space="preserve">周長 </t>
    </r>
    <r>
      <rPr>
        <sz val="9"/>
        <color rgb="FF5B6068"/>
        <rFont val="Arial"/>
        <family val="0"/>
        <charset val="1"/>
      </rPr>
      <t xml:space="preserve">+ </t>
    </r>
    <r>
      <rPr>
        <sz val="9"/>
        <color rgb="FF5B6068"/>
        <rFont val="Noto Sans CJK SC"/>
        <family val="2"/>
      </rPr>
      <t xml:space="preserve">夾層 </t>
    </r>
    <r>
      <rPr>
        <sz val="9"/>
        <color rgb="FF5B6068"/>
        <rFont val="Arial"/>
        <family val="0"/>
        <charset val="1"/>
      </rPr>
      <t xml:space="preserve">2 </t>
    </r>
    <r>
      <rPr>
        <sz val="9"/>
        <color rgb="FF5B6068"/>
        <rFont val="Noto Sans CJK SC"/>
        <family val="2"/>
      </rPr>
      <t xml:space="preserve">條</t>
    </r>
  </si>
  <si>
    <r>
      <rPr>
        <sz val="10"/>
        <color rgb="FF000000"/>
        <rFont val="Noto Sans CJK SC"/>
        <family val="2"/>
      </rPr>
      <t xml:space="preserve">地樑鋼筋（</t>
    </r>
    <r>
      <rPr>
        <sz val="10"/>
        <color rgb="FF000000"/>
        <rFont val="Arial"/>
        <family val="0"/>
        <charset val="1"/>
      </rPr>
      <t xml:space="preserve">130 kg/m³</t>
    </r>
    <r>
      <rPr>
        <sz val="10"/>
        <color rgb="FF000000"/>
        <rFont val="Noto Sans CJK SC"/>
        <family val="2"/>
      </rPr>
      <t xml:space="preserve">）</t>
    </r>
  </si>
  <si>
    <t xml:space="preserve">地樑模板</t>
  </si>
  <si>
    <t xml:space="preserve">鋼結構</t>
  </si>
  <si>
    <r>
      <rPr>
        <sz val="10"/>
        <color rgb="FF000000"/>
        <rFont val="Noto Sans CJK SC"/>
        <family val="2"/>
      </rPr>
      <t xml:space="preserve">主鋼架、桁條、拉條、支撐（</t>
    </r>
    <r>
      <rPr>
        <sz val="10"/>
        <color rgb="FF000000"/>
        <rFont val="Arial"/>
        <family val="0"/>
        <charset val="1"/>
      </rPr>
      <t xml:space="preserve">A36</t>
    </r>
    <r>
      <rPr>
        <sz val="10"/>
        <color rgb="FF000000"/>
        <rFont val="Noto Sans CJK SC"/>
        <family val="2"/>
      </rPr>
      <t xml:space="preserve">，製作＋防鏽＋安裝）</t>
    </r>
  </si>
  <si>
    <r>
      <rPr>
        <sz val="9"/>
        <color rgb="FF5B6068"/>
        <rFont val="Noto Sans CJK SC"/>
        <family val="2"/>
      </rPr>
      <t xml:space="preserve">面積 </t>
    </r>
    <r>
      <rPr>
        <sz val="9"/>
        <color rgb="FF5B6068"/>
        <rFont val="Arial"/>
        <family val="0"/>
        <charset val="1"/>
      </rPr>
      <t xml:space="preserve">4,257 m² × </t>
    </r>
    <r>
      <rPr>
        <sz val="9"/>
        <color rgb="FF5B6068"/>
        <rFont val="Noto Sans CJK SC"/>
        <family val="2"/>
      </rPr>
      <t xml:space="preserve">用鋼量；假設值 </t>
    </r>
    <r>
      <rPr>
        <sz val="9"/>
        <color rgb="FF5B6068"/>
        <rFont val="Arial"/>
        <family val="0"/>
        <charset val="1"/>
      </rPr>
      <t xml:space="preserve">STLKG</t>
    </r>
  </si>
  <si>
    <r>
      <rPr>
        <sz val="10"/>
        <color rgb="FF000000"/>
        <rFont val="Noto Sans CJK SC"/>
        <family val="2"/>
      </rPr>
      <t xml:space="preserve">與原絲廠房共牆側預留牛腿（</t>
    </r>
    <r>
      <rPr>
        <sz val="10"/>
        <color rgb="FF000000"/>
        <rFont val="Arial"/>
        <family val="0"/>
        <charset val="1"/>
      </rPr>
      <t xml:space="preserve">P0A30011 </t>
    </r>
    <r>
      <rPr>
        <sz val="10"/>
        <color rgb="FF000000"/>
        <rFont val="Noto Sans CJK SC"/>
        <family val="2"/>
      </rPr>
      <t xml:space="preserve">註記）</t>
    </r>
  </si>
  <si>
    <t xml:space="preserve">座</t>
  </si>
  <si>
    <r>
      <rPr>
        <sz val="9"/>
        <color rgb="FF5B6068"/>
        <rFont val="Noto Sans CJK SC"/>
        <family val="2"/>
      </rPr>
      <t xml:space="preserve">預留 </t>
    </r>
    <r>
      <rPr>
        <sz val="9"/>
        <color rgb="FF5B6068"/>
        <rFont val="Arial"/>
        <family val="0"/>
        <charset val="1"/>
      </rPr>
      <t xml:space="preserve">DTY </t>
    </r>
    <r>
      <rPr>
        <sz val="9"/>
        <color rgb="FF5B6068"/>
        <rFont val="Noto Sans CJK SC"/>
        <family val="2"/>
      </rPr>
      <t xml:space="preserve">廠房樑柱支撐牛腿</t>
    </r>
  </si>
  <si>
    <r>
      <rPr>
        <sz val="10"/>
        <color rgb="FF000000"/>
        <rFont val="Noto Sans CJK SC"/>
        <family val="2"/>
      </rPr>
      <t xml:space="preserve">北側夾層鋼樑（</t>
    </r>
    <r>
      <rPr>
        <sz val="10"/>
        <color rgb="FF000000"/>
        <rFont val="Arial"/>
        <family val="0"/>
        <charset val="1"/>
      </rPr>
      <t xml:space="preserve">58 × 15.4 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45 kg/m²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</si>
  <si>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Arial"/>
        <family val="0"/>
        <charset val="1"/>
      </rPr>
      <t xml:space="preserve">2F </t>
    </r>
    <r>
      <rPr>
        <sz val="9"/>
        <color rgb="FF5B6068"/>
        <rFont val="Noto Sans CJK SC"/>
        <family val="2"/>
      </rPr>
      <t xml:space="preserve">空調區、備品室、教育訓練、會議室</t>
    </r>
  </si>
  <si>
    <r>
      <rPr>
        <sz val="10"/>
        <color rgb="FF000000"/>
        <rFont val="Noto Sans CJK SC"/>
        <family val="2"/>
      </rPr>
      <t xml:space="preserve">夾層樓板（鋼承板 </t>
    </r>
    <r>
      <rPr>
        <sz val="10"/>
        <color rgb="FF000000"/>
        <rFont val="Arial"/>
        <family val="0"/>
        <charset val="1"/>
      </rPr>
      <t xml:space="preserve">+ 12 cm RC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</si>
  <si>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夾層樓梯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座（鋼構）</t>
    </r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</si>
  <si>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2. </t>
    </r>
    <r>
      <rPr>
        <b val="true"/>
        <sz val="10"/>
        <color rgb="FF000000"/>
        <rFont val="Noto Sans CJK SC"/>
        <family val="2"/>
      </rPr>
      <t xml:space="preserve">鋼結構</t>
    </r>
  </si>
  <si>
    <t xml:space="preserve">外殼與地坪</t>
  </si>
  <si>
    <r>
      <rPr>
        <sz val="10"/>
        <color rgb="FF000000"/>
        <rFont val="Noto Sans CJK SC"/>
        <family val="2"/>
      </rPr>
      <t xml:space="preserve">屋頂 </t>
    </r>
    <r>
      <rPr>
        <sz val="10"/>
        <color rgb="FF000000"/>
        <rFont val="Arial"/>
        <family val="0"/>
        <charset val="1"/>
      </rPr>
      <t xml:space="preserve">Zincalum 4</t>
    </r>
    <r>
      <rPr>
        <sz val="10"/>
        <color rgb="FF000000"/>
        <rFont val="Noto Sans CJK SC"/>
        <family val="2"/>
      </rPr>
      <t xml:space="preserve">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三明治板</t>
    </r>
  </si>
  <si>
    <r>
      <rPr>
        <sz val="9"/>
        <color rgb="FF5B6068"/>
        <rFont val="Arial"/>
        <family val="0"/>
        <charset val="1"/>
      </rPr>
      <t xml:space="preserve">S&amp;W </t>
    </r>
    <r>
      <rPr>
        <sz val="9"/>
        <color rgb="FF5B6068"/>
        <rFont val="Noto Sans CJK SC"/>
        <family val="2"/>
      </rPr>
      <t xml:space="preserve">建議三明治板</t>
    </r>
  </si>
  <si>
    <r>
      <rPr>
        <sz val="10"/>
        <color rgb="FF000000"/>
        <rFont val="Noto Sans CJK SC"/>
        <family val="2"/>
      </rPr>
      <t xml:space="preserve">屋頂天溝（時雨量 </t>
    </r>
    <r>
      <rPr>
        <sz val="10"/>
        <color rgb="FF000000"/>
        <rFont val="Arial"/>
        <family val="0"/>
        <charset val="1"/>
      </rPr>
      <t xml:space="preserve">120 mm/h</t>
    </r>
    <r>
      <rPr>
        <sz val="10"/>
        <color rgb="FF000000"/>
        <rFont val="Noto Sans CJK SC"/>
        <family val="2"/>
      </rPr>
      <t xml:space="preserve">）、落水管、採光帶</t>
    </r>
  </si>
  <si>
    <r>
      <rPr>
        <sz val="10"/>
        <color rgb="FF000000"/>
        <rFont val="Noto Sans CJK SC"/>
        <family val="2"/>
      </rPr>
      <t xml:space="preserve">外牆 </t>
    </r>
    <r>
      <rPr>
        <sz val="10"/>
        <color rgb="FF000000"/>
        <rFont val="Arial"/>
        <family val="0"/>
        <charset val="1"/>
      </rPr>
      <t xml:space="preserve">Zincalum 2</t>
    </r>
    <r>
      <rPr>
        <sz val="10"/>
        <color rgb="FF000000"/>
        <rFont val="Noto Sans CJK SC"/>
        <family val="2"/>
      </rPr>
      <t xml:space="preserve">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板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牆桁（下段 </t>
    </r>
    <r>
      <rPr>
        <sz val="10"/>
        <color rgb="FF000000"/>
        <rFont val="Arial"/>
        <family val="0"/>
        <charset val="1"/>
      </rPr>
      <t xml:space="preserve">2.4 m </t>
    </r>
    <r>
      <rPr>
        <sz val="10"/>
        <color rgb="FF000000"/>
        <rFont val="Noto Sans CJK SC"/>
        <family val="2"/>
      </rPr>
      <t xml:space="preserve">磚牆另計）</t>
    </r>
  </si>
  <si>
    <r>
      <rPr>
        <sz val="9"/>
        <color rgb="FF5B6068"/>
        <rFont val="Noto Sans CJK SC"/>
        <family val="2"/>
      </rPr>
      <t xml:space="preserve">扣門洞 </t>
    </r>
    <r>
      <rPr>
        <sz val="9"/>
        <color rgb="FF5B6068"/>
        <rFont val="Arial"/>
        <family val="0"/>
        <charset val="1"/>
      </rPr>
      <t xml:space="preserve">8%</t>
    </r>
  </si>
  <si>
    <r>
      <rPr>
        <sz val="10"/>
        <color rgb="FF000000"/>
        <rFont val="Noto Sans CJK SC"/>
        <family val="2"/>
      </rPr>
      <t xml:space="preserve">外牆下段磚牆 </t>
    </r>
    <r>
      <rPr>
        <sz val="10"/>
        <color rgb="FF000000"/>
        <rFont val="Arial"/>
        <family val="0"/>
        <charset val="1"/>
      </rPr>
      <t xml:space="preserve">2.4 m</t>
    </r>
    <r>
      <rPr>
        <sz val="10"/>
        <color rgb="FF000000"/>
        <rFont val="Noto Sans CJK SC"/>
        <family val="2"/>
      </rPr>
      <t xml:space="preserve">（防撞）＋粉刷油漆</t>
    </r>
  </si>
  <si>
    <r>
      <rPr>
        <sz val="10"/>
        <color rgb="FF000000"/>
        <rFont val="Noto Sans CJK SC"/>
        <family val="2"/>
      </rPr>
      <t xml:space="preserve">工業地坪 </t>
    </r>
    <r>
      <rPr>
        <sz val="10"/>
        <color rgb="FF000000"/>
        <rFont val="Arial"/>
        <family val="0"/>
        <charset val="1"/>
      </rPr>
      <t xml:space="preserve">20 cm </t>
    </r>
    <r>
      <rPr>
        <sz val="10"/>
        <color rgb="FF000000"/>
        <rFont val="Noto Sans CJK SC"/>
        <family val="2"/>
      </rPr>
      <t xml:space="preserve">纖維混凝土＋硬化劑</t>
    </r>
  </si>
  <si>
    <r>
      <rPr>
        <sz val="9"/>
        <color rgb="FF5B6068"/>
        <rFont val="Noto Sans CJK SC"/>
        <family val="2"/>
      </rPr>
      <t xml:space="preserve">荷重 </t>
    </r>
    <r>
      <rPr>
        <sz val="9"/>
        <color rgb="FF5B6068"/>
        <rFont val="Arial"/>
        <family val="0"/>
        <charset val="1"/>
      </rPr>
      <t xml:space="preserve">1,000 kg/m²</t>
    </r>
  </si>
  <si>
    <t xml:space="preserve">鐵捲門＋小門（紗車暫存區、倉庫、品檢包裝區）</t>
  </si>
  <si>
    <t xml:space="preserve">P0A30011</t>
  </si>
  <si>
    <t xml:space="preserve">快速捲門（紗車出入、空調區）</t>
  </si>
  <si>
    <t xml:space="preserve">門窗（辦公、染判室、會議室）</t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</si>
  <si>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3. </t>
    </r>
    <r>
      <rPr>
        <b val="true"/>
        <sz val="10"/>
        <color rgb="FF000000"/>
        <rFont val="Noto Sans CJK SC"/>
        <family val="2"/>
      </rPr>
      <t xml:space="preserve">外殼與地坪</t>
    </r>
  </si>
  <si>
    <r>
      <rPr>
        <sz val="10"/>
        <color rgb="FF000000"/>
        <rFont val="Noto Sans CJK SC"/>
        <family val="2"/>
      </rPr>
      <t xml:space="preserve">砌磚隔間 </t>
    </r>
    <r>
      <rPr>
        <sz val="10"/>
        <color rgb="FF000000"/>
        <rFont val="Arial"/>
        <family val="0"/>
        <charset val="1"/>
      </rPr>
      <t xml:space="preserve">15 cm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1F </t>
    </r>
    <r>
      <rPr>
        <sz val="10"/>
        <color rgb="FF000000"/>
        <rFont val="Noto Sans CJK SC"/>
        <family val="2"/>
      </rPr>
      <t xml:space="preserve">保養室、辦公室、染判室、廁所、倉庫辦公室；</t>
    </r>
    <r>
      <rPr>
        <sz val="10"/>
        <color rgb="FF000000"/>
        <rFont val="Arial"/>
        <family val="0"/>
        <charset val="1"/>
      </rPr>
      <t xml:space="preserve">2F </t>
    </r>
    <r>
      <rPr>
        <sz val="10"/>
        <color rgb="FF000000"/>
        <rFont val="Noto Sans CJK SC"/>
        <family val="2"/>
      </rPr>
      <t xml:space="preserve">房間）</t>
    </r>
  </si>
  <si>
    <r>
      <rPr>
        <sz val="9"/>
        <color rgb="FF5B6068"/>
        <rFont val="Noto Sans CJK SC"/>
        <family val="2"/>
      </rPr>
      <t xml:space="preserve">依模型房間周長 </t>
    </r>
    <r>
      <rPr>
        <sz val="9"/>
        <color rgb="FF5B6068"/>
        <rFont val="Arial"/>
        <family val="0"/>
        <charset val="1"/>
      </rPr>
      <t xml:space="preserve">× 3.2 m</t>
    </r>
    <r>
      <rPr>
        <sz val="9"/>
        <color rgb="FF5B6068"/>
        <rFont val="Noto Sans CJK SC"/>
        <family val="2"/>
      </rPr>
      <t xml:space="preserve">（</t>
    </r>
    <r>
      <rPr>
        <sz val="9"/>
        <color rgb="FF5B6068"/>
        <rFont val="Arial"/>
        <family val="0"/>
        <charset val="1"/>
      </rPr>
      <t xml:space="preserve">1F</t>
    </r>
    <r>
      <rPr>
        <sz val="9"/>
        <color rgb="FF5B6068"/>
        <rFont val="Noto Sans CJK SC"/>
        <family val="2"/>
      </rPr>
      <t xml:space="preserve">）</t>
    </r>
    <r>
      <rPr>
        <sz val="9"/>
        <color rgb="FF5B6068"/>
        <rFont val="Arial"/>
        <family val="0"/>
        <charset val="1"/>
      </rPr>
      <t xml:space="preserve">/ 3.0 m</t>
    </r>
    <r>
      <rPr>
        <sz val="9"/>
        <color rgb="FF5B6068"/>
        <rFont val="Noto Sans CJK SC"/>
        <family val="2"/>
      </rPr>
      <t xml:space="preserve">（</t>
    </r>
    <r>
      <rPr>
        <sz val="9"/>
        <color rgb="FF5B6068"/>
        <rFont val="Arial"/>
        <family val="0"/>
        <charset val="1"/>
      </rPr>
      <t xml:space="preserve">2F</t>
    </r>
    <r>
      <rPr>
        <sz val="9"/>
        <color rgb="FF5B6068"/>
        <rFont val="Noto Sans CJK SC"/>
        <family val="2"/>
      </rPr>
      <t xml:space="preserve">）</t>
    </r>
  </si>
  <si>
    <t xml:space="preserve">辦公／訓練／會議／染判室裝修（天花、地坪、照明強化）</t>
  </si>
  <si>
    <t xml:space="preserve">女廁／男廁</t>
  </si>
  <si>
    <r>
      <rPr>
        <sz val="9"/>
        <color rgb="FF5B6068"/>
        <rFont val="Arial"/>
        <family val="0"/>
        <charset val="1"/>
      </rPr>
      <t xml:space="preserve">P0A30011 </t>
    </r>
    <r>
      <rPr>
        <sz val="9"/>
        <color rgb="FF5B6068"/>
        <rFont val="Noto Sans CJK SC"/>
        <family val="2"/>
      </rPr>
      <t xml:space="preserve">東北角</t>
    </r>
  </si>
  <si>
    <t xml:space="preserve">品檢包裝區環氧地坪</t>
  </si>
  <si>
    <t xml:space="preserve">建築機電</t>
  </si>
  <si>
    <t xml:space="preserve">電氣—建築用電</t>
  </si>
  <si>
    <r>
      <rPr>
        <sz val="9"/>
        <color rgb="FF5B6068"/>
        <rFont val="Arial"/>
        <family val="0"/>
        <charset val="1"/>
      </rPr>
      <t xml:space="preserve">GFA 4,700 m²</t>
    </r>
    <r>
      <rPr>
        <sz val="9"/>
        <color rgb="FF5B6068"/>
        <rFont val="Noto Sans CJK SC"/>
        <family val="2"/>
      </rPr>
      <t xml:space="preserve">（</t>
    </r>
    <r>
      <rPr>
        <sz val="9"/>
        <color rgb="FF5B6068"/>
        <rFont val="Arial"/>
        <family val="0"/>
        <charset val="1"/>
      </rPr>
      <t xml:space="preserve">ACELON </t>
    </r>
    <r>
      <rPr>
        <sz val="9"/>
        <color rgb="FF5B6068"/>
        <rFont val="Noto Sans CJK SC"/>
        <family val="2"/>
      </rPr>
      <t xml:space="preserve">概算）</t>
    </r>
  </si>
  <si>
    <t xml:space="preserve">5.3</t>
  </si>
  <si>
    <t xml:space="preserve">電信／弱電</t>
  </si>
  <si>
    <t xml:space="preserve">5.4</t>
  </si>
  <si>
    <t xml:space="preserve">給排水</t>
  </si>
  <si>
    <t xml:space="preserve">5.5</t>
  </si>
  <si>
    <t xml:space="preserve">消防</t>
  </si>
  <si>
    <t xml:space="preserve">5.6</t>
  </si>
  <si>
    <t xml:space="preserve">通風</t>
  </si>
  <si>
    <t xml:space="preserve">假撚機空調由製程負責</t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</si>
  <si>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5. </t>
    </r>
    <r>
      <rPr>
        <b val="true"/>
        <sz val="10"/>
        <color rgb="FF000000"/>
        <rFont val="Noto Sans CJK SC"/>
        <family val="2"/>
      </rPr>
      <t xml:space="preserve">建築機電</t>
    </r>
  </si>
  <si>
    <r>
      <rPr>
        <b val="true"/>
        <sz val="14"/>
        <color rgb="FF000000"/>
        <rFont val="Noto Sans CJK SC"/>
        <family val="2"/>
      </rPr>
      <t xml:space="preserve">公用廠房（</t>
    </r>
    <r>
      <rPr>
        <b val="true"/>
        <sz val="14"/>
        <color rgb="FF000000"/>
        <rFont val="Arial"/>
        <family val="0"/>
        <charset val="1"/>
      </rPr>
      <t xml:space="preserve">21 × 38 m</t>
    </r>
    <r>
      <rPr>
        <b val="true"/>
        <sz val="14"/>
        <color rgb="FF000000"/>
        <rFont val="Noto Sans CJK SC"/>
        <family val="2"/>
      </rPr>
      <t xml:space="preserve">，</t>
    </r>
    <r>
      <rPr>
        <b val="true"/>
        <sz val="14"/>
        <color rgb="FF000000"/>
        <rFont val="Arial"/>
        <family val="0"/>
        <charset val="1"/>
      </rPr>
      <t xml:space="preserve">RC 2 </t>
    </r>
    <r>
      <rPr>
        <b val="true"/>
        <sz val="14"/>
        <color rgb="FF000000"/>
        <rFont val="Noto Sans CJK SC"/>
        <family val="2"/>
      </rPr>
      <t xml:space="preserve">層，</t>
    </r>
    <r>
      <rPr>
        <b val="true"/>
        <sz val="14"/>
        <color rgb="FF000000"/>
        <rFont val="Arial"/>
        <family val="0"/>
        <charset val="1"/>
      </rPr>
      <t xml:space="preserve">GFA 1,600 m²</t>
    </r>
    <r>
      <rPr>
        <b val="true"/>
        <sz val="14"/>
        <color rgb="FF000000"/>
        <rFont val="Noto Sans CJK SC"/>
        <family val="2"/>
      </rPr>
      <t xml:space="preserve">）與公用設備 — 直接成本明細</t>
    </r>
  </si>
  <si>
    <r>
      <rPr>
        <i val="true"/>
        <sz val="10"/>
        <color rgb="FF5B6068"/>
        <rFont val="Noto Sans CJK SC"/>
        <family val="2"/>
      </rPr>
      <t xml:space="preserve">位置依 </t>
    </r>
    <r>
      <rPr>
        <i val="true"/>
        <sz val="10"/>
        <color rgb="FF5B6068"/>
        <rFont val="Arial"/>
        <family val="0"/>
        <charset val="1"/>
      </rPr>
      <t xml:space="preserve">P0A30011 </t>
    </r>
    <r>
      <rPr>
        <i val="true"/>
        <sz val="10"/>
        <color rgb="FF5B6068"/>
        <rFont val="Noto Sans CJK SC"/>
        <family val="2"/>
      </rPr>
      <t xml:space="preserve">西側 </t>
    </r>
    <r>
      <rPr>
        <i val="true"/>
        <sz val="10"/>
        <color rgb="FF5B6068"/>
        <rFont val="Arial"/>
        <family val="0"/>
        <charset val="1"/>
      </rPr>
      <t xml:space="preserve">20 m </t>
    </r>
    <r>
      <rPr>
        <i val="true"/>
        <sz val="10"/>
        <color rgb="FF5B6068"/>
        <rFont val="Noto Sans CJK SC"/>
        <family val="2"/>
      </rPr>
      <t xml:space="preserve">公用帶；設備本體是否納入營建範圍待 </t>
    </r>
    <r>
      <rPr>
        <i val="true"/>
        <sz val="10"/>
        <color rgb="FF5B6068"/>
        <rFont val="Arial"/>
        <family val="0"/>
        <charset val="1"/>
      </rPr>
      <t xml:space="preserve">RFI 30/32</t>
    </r>
    <r>
      <rPr>
        <i val="true"/>
        <sz val="10"/>
        <color rgb="FF5B6068"/>
        <rFont val="Noto Sans CJK SC"/>
        <family val="2"/>
      </rPr>
      <t xml:space="preserve">。</t>
    </r>
  </si>
  <si>
    <t xml:space="preserve">基礎開挖、回填</t>
  </si>
  <si>
    <r>
      <rPr>
        <sz val="9"/>
        <color rgb="FF5B6068"/>
        <rFont val="Arial"/>
        <family val="0"/>
        <charset val="1"/>
      </rPr>
      <t xml:space="preserve">4 × 6 </t>
    </r>
    <r>
      <rPr>
        <sz val="9"/>
        <color rgb="FF5B6068"/>
        <rFont val="Noto Sans CJK SC"/>
        <family val="2"/>
      </rPr>
      <t xml:space="preserve">柱位</t>
    </r>
  </si>
  <si>
    <r>
      <rPr>
        <sz val="10"/>
        <color rgb="FF000000"/>
        <rFont val="Noto Sans CJK SC"/>
        <family val="2"/>
      </rPr>
      <t xml:space="preserve">柱基礎與地樑 </t>
    </r>
    <r>
      <rPr>
        <sz val="10"/>
        <color rgb="FF000000"/>
        <rFont val="Arial"/>
        <family val="0"/>
        <charset val="1"/>
      </rPr>
      <t xml:space="preserve">RC</t>
    </r>
  </si>
  <si>
    <r>
      <rPr>
        <sz val="10"/>
        <color rgb="FF000000"/>
        <rFont val="Noto Sans CJK SC"/>
        <family val="2"/>
      </rPr>
      <t xml:space="preserve">基礎鋼筋（</t>
    </r>
    <r>
      <rPr>
        <sz val="10"/>
        <color rgb="FF000000"/>
        <rFont val="Arial"/>
        <family val="0"/>
        <charset val="1"/>
      </rPr>
      <t xml:space="preserve">80 kg/m³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</si>
  <si>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RC </t>
    </r>
    <r>
      <rPr>
        <b val="true"/>
        <sz val="10"/>
        <color rgb="FF000000"/>
        <rFont val="Noto Sans CJK SC"/>
        <family val="2"/>
      </rPr>
      <t xml:space="preserve">結構（</t>
    </r>
    <r>
      <rPr>
        <b val="true"/>
        <sz val="10"/>
        <color rgb="FF000000"/>
        <rFont val="Arial"/>
        <family val="0"/>
        <charset val="1"/>
      </rPr>
      <t xml:space="preserve">2 </t>
    </r>
    <r>
      <rPr>
        <b val="true"/>
        <sz val="10"/>
        <color rgb="FF000000"/>
        <rFont val="Noto Sans CJK SC"/>
        <family val="2"/>
      </rPr>
      <t xml:space="preserve">層）</t>
    </r>
  </si>
  <si>
    <r>
      <rPr>
        <sz val="10"/>
        <color rgb="FF000000"/>
        <rFont val="Noto Sans CJK SC"/>
        <family val="2"/>
      </rPr>
      <t xml:space="preserve">柱樑板混凝土（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× 798 m² × 0.28 m³/m²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</si>
  <si>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Arial"/>
        <family val="0"/>
        <charset val="1"/>
      </rPr>
      <t xml:space="preserve">RC </t>
    </r>
    <r>
      <rPr>
        <sz val="9"/>
        <color rgb="FF5B6068"/>
        <rFont val="Noto Sans CJK SC"/>
        <family val="2"/>
      </rPr>
      <t xml:space="preserve">框架含樓板 </t>
    </r>
    <r>
      <rPr>
        <sz val="9"/>
        <color rgb="FF5B6068"/>
        <rFont val="Arial"/>
        <family val="0"/>
        <charset val="1"/>
      </rPr>
      <t xml:space="preserve">0.28 m³/m² </t>
    </r>
    <r>
      <rPr>
        <sz val="9"/>
        <color rgb="FF5B6068"/>
        <rFont val="Noto Sans CJK SC"/>
        <family val="2"/>
      </rPr>
      <t xml:space="preserve">經驗值</t>
    </r>
  </si>
  <si>
    <r>
      <rPr>
        <sz val="10"/>
        <color rgb="FF000000"/>
        <rFont val="Noto Sans CJK SC"/>
        <family val="2"/>
      </rPr>
      <t xml:space="preserve">鋼筋（</t>
    </r>
    <r>
      <rPr>
        <sz val="10"/>
        <color rgb="FF000000"/>
        <rFont val="Arial"/>
        <family val="0"/>
        <charset val="1"/>
      </rPr>
      <t xml:space="preserve">115 kg/m³</t>
    </r>
    <r>
      <rPr>
        <sz val="10"/>
        <color rgb="FF000000"/>
        <rFont val="Noto Sans CJK SC"/>
        <family val="2"/>
      </rPr>
      <t xml:space="preserve">）</t>
    </r>
  </si>
  <si>
    <t xml:space="preserve">模板</t>
  </si>
  <si>
    <r>
      <rPr>
        <sz val="9"/>
        <color rgb="FF5B6068"/>
        <rFont val="Arial"/>
        <family val="0"/>
        <charset val="1"/>
      </rPr>
      <t xml:space="preserve">2.2 m²/m² </t>
    </r>
    <r>
      <rPr>
        <sz val="9"/>
        <color rgb="FF5B6068"/>
        <rFont val="Noto Sans CJK SC"/>
        <family val="2"/>
      </rPr>
      <t xml:space="preserve">樓地板</t>
    </r>
  </si>
  <si>
    <t xml:space="preserve">設備基礎（空壓機、冷乾機、冷卻水塔、發電機、變壓器）</t>
  </si>
  <si>
    <t xml:space="preserve">含鋼筋模板及防震</t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</si>
  <si>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2. RC </t>
    </r>
    <r>
      <rPr>
        <b val="true"/>
        <sz val="10"/>
        <color rgb="FF000000"/>
        <rFont val="Noto Sans CJK SC"/>
        <family val="2"/>
      </rPr>
      <t xml:space="preserve">結構（</t>
    </r>
    <r>
      <rPr>
        <b val="true"/>
        <sz val="10"/>
        <color rgb="FF000000"/>
        <rFont val="Arial"/>
        <family val="0"/>
        <charset val="1"/>
      </rPr>
      <t xml:space="preserve">2 </t>
    </r>
    <r>
      <rPr>
        <b val="true"/>
        <sz val="10"/>
        <color rgb="FF000000"/>
        <rFont val="Noto Sans CJK SC"/>
        <family val="2"/>
      </rPr>
      <t xml:space="preserve">層）</t>
    </r>
  </si>
  <si>
    <t xml:space="preserve">外殼與裝修</t>
  </si>
  <si>
    <r>
      <rPr>
        <sz val="10"/>
        <color rgb="FF000000"/>
        <rFont val="Noto Sans CJK SC"/>
        <family val="2"/>
      </rPr>
      <t xml:space="preserve">外牆磚牆 </t>
    </r>
    <r>
      <rPr>
        <sz val="10"/>
        <color rgb="FF000000"/>
        <rFont val="Arial"/>
        <family val="0"/>
        <charset val="1"/>
      </rPr>
      <t xml:space="preserve">20 cm + </t>
    </r>
    <r>
      <rPr>
        <sz val="10"/>
        <color rgb="FF000000"/>
        <rFont val="Noto Sans CJK SC"/>
        <family val="2"/>
      </rPr>
      <t xml:space="preserve">雙面粉刷油漆</t>
    </r>
  </si>
  <si>
    <r>
      <rPr>
        <sz val="9"/>
        <color rgb="FF5B6068"/>
        <rFont val="Noto Sans CJK SC"/>
        <family val="2"/>
      </rPr>
      <t xml:space="preserve">扣門窗 </t>
    </r>
    <r>
      <rPr>
        <sz val="9"/>
        <color rgb="FF5B6068"/>
        <rFont val="Arial"/>
        <family val="0"/>
        <charset val="1"/>
      </rPr>
      <t xml:space="preserve">15%</t>
    </r>
  </si>
  <si>
    <r>
      <rPr>
        <sz val="10"/>
        <color rgb="FF000000"/>
        <rFont val="Noto Sans CJK SC"/>
        <family val="2"/>
      </rPr>
      <t xml:space="preserve">屋頂 </t>
    </r>
    <r>
      <rPr>
        <sz val="10"/>
        <color rgb="FF000000"/>
        <rFont val="Arial"/>
        <family val="0"/>
        <charset val="1"/>
      </rPr>
      <t xml:space="preserve">Zincalum 4</t>
    </r>
    <r>
      <rPr>
        <sz val="10"/>
        <color rgb="FF000000"/>
        <rFont val="Noto Sans CJK SC"/>
        <family val="2"/>
      </rPr>
      <t xml:space="preserve">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板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桁條</t>
    </r>
  </si>
  <si>
    <r>
      <rPr>
        <sz val="10"/>
        <color rgb="FF000000"/>
        <rFont val="Noto Sans CJK SC"/>
        <family val="2"/>
      </rPr>
      <t xml:space="preserve">工業地坪 </t>
    </r>
    <r>
      <rPr>
        <sz val="10"/>
        <color rgb="FF000000"/>
        <rFont val="Arial"/>
        <family val="0"/>
        <charset val="1"/>
      </rPr>
      <t xml:space="preserve">20 cm</t>
    </r>
  </si>
  <si>
    <t xml:space="preserve">百葉窗、鐵捲門、鋼門（空壓機房通風）</t>
  </si>
  <si>
    <t xml:space="preserve">內部隔間與裝修</t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</si>
  <si>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3. </t>
    </r>
    <r>
      <rPr>
        <b val="true"/>
        <sz val="10"/>
        <color rgb="FF000000"/>
        <rFont val="Noto Sans CJK SC"/>
        <family val="2"/>
      </rPr>
      <t xml:space="preserve">外殼與裝修</t>
    </r>
  </si>
  <si>
    <t xml:space="preserve">機電（建築用；不含公用設備本體）</t>
  </si>
  <si>
    <t xml:space="preserve">電氣、照明、弱電</t>
  </si>
  <si>
    <t xml:space="preserve">GFA 1,600 m²</t>
  </si>
  <si>
    <t xml:space="preserve">給排水、消防、通風</t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</si>
  <si>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4. </t>
    </r>
    <r>
      <rPr>
        <b val="true"/>
        <sz val="10"/>
        <color rgb="FF000000"/>
        <rFont val="Noto Sans CJK SC"/>
        <family val="2"/>
      </rPr>
      <t xml:space="preserve">機電（建築用；不含公用設備本體）</t>
    </r>
  </si>
  <si>
    <r>
      <rPr>
        <b val="true"/>
        <sz val="10"/>
        <color rgb="FF000000"/>
        <rFont val="Noto Sans CJK SC"/>
        <family val="2"/>
      </rPr>
      <t xml:space="preserve">公用設備（土建整合部分；設備本體是否納入待 </t>
    </r>
    <r>
      <rPr>
        <b val="true"/>
        <sz val="10"/>
        <color rgb="FF000000"/>
        <rFont val="Arial"/>
        <family val="0"/>
        <charset val="1"/>
      </rPr>
      <t xml:space="preserve">RFI 32</t>
    </r>
    <r>
      <rPr>
        <b val="true"/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</si>
  <si>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變電站土建 </t>
    </r>
    <r>
      <rPr>
        <sz val="10"/>
        <color rgb="FF000000"/>
        <rFont val="Arial"/>
        <family val="0"/>
        <charset val="1"/>
      </rPr>
      <t xml:space="preserve">+ MV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變壓器 </t>
    </r>
    <r>
      <rPr>
        <sz val="10"/>
        <color rgb="FF000000"/>
        <rFont val="Arial"/>
        <family val="0"/>
        <charset val="1"/>
      </rPr>
      <t xml:space="preserve">2 × 2,000 kVA</t>
    </r>
  </si>
  <si>
    <r>
      <rPr>
        <sz val="9"/>
        <color rgb="FF5B6068"/>
        <rFont val="Arial"/>
        <family val="0"/>
        <charset val="1"/>
      </rPr>
      <t xml:space="preserve">RFI 28/29</t>
    </r>
    <r>
      <rPr>
        <sz val="9"/>
        <color rgb="FF5B6068"/>
        <rFont val="Noto Sans CJK SC"/>
        <family val="2"/>
      </rPr>
      <t xml:space="preserve">：負載表與位置待定；</t>
    </r>
    <r>
      <rPr>
        <sz val="9"/>
        <color rgb="FF5B6068"/>
        <rFont val="Arial"/>
        <family val="0"/>
        <charset val="1"/>
      </rPr>
      <t xml:space="preserve">ANDE </t>
    </r>
    <r>
      <rPr>
        <sz val="9"/>
        <color rgb="FF5B6068"/>
        <rFont val="Noto Sans CJK SC"/>
        <family val="2"/>
      </rPr>
      <t xml:space="preserve">線路另計</t>
    </r>
  </si>
  <si>
    <r>
      <rPr>
        <sz val="10"/>
        <color rgb="FF000000"/>
        <rFont val="Noto Sans CJK SC"/>
        <family val="2"/>
      </rPr>
      <t xml:space="preserve">緊急發電機 </t>
    </r>
    <r>
      <rPr>
        <sz val="10"/>
        <color rgb="FF000000"/>
        <rFont val="Arial"/>
        <family val="0"/>
        <charset val="1"/>
      </rPr>
      <t xml:space="preserve">800 kVA</t>
    </r>
  </si>
  <si>
    <t xml:space="preserve">RFI 29</t>
  </si>
  <si>
    <r>
      <rPr>
        <sz val="10"/>
        <color rgb="FF000000"/>
        <rFont val="Noto Sans CJK SC"/>
        <family val="2"/>
      </rPr>
      <t xml:space="preserve">地下水池 </t>
    </r>
    <r>
      <rPr>
        <sz val="10"/>
        <color rgb="FF000000"/>
        <rFont val="Arial"/>
        <family val="0"/>
        <charset val="1"/>
      </rPr>
      <t xml:space="preserve">100 m³ + </t>
    </r>
    <r>
      <rPr>
        <sz val="10"/>
        <color rgb="FF000000"/>
        <rFont val="Noto Sans CJK SC"/>
        <family val="2"/>
      </rPr>
      <t xml:space="preserve">過濾水池 </t>
    </r>
    <r>
      <rPr>
        <sz val="10"/>
        <color rgb="FF000000"/>
        <rFont val="Arial"/>
        <family val="0"/>
        <charset val="1"/>
      </rPr>
      <t xml:space="preserve">100 m³ + </t>
    </r>
    <r>
      <rPr>
        <sz val="10"/>
        <color rgb="FF000000"/>
        <rFont val="Noto Sans CJK SC"/>
        <family val="2"/>
      </rPr>
      <t xml:space="preserve">廢水調勻池 </t>
    </r>
    <r>
      <rPr>
        <sz val="10"/>
        <color rgb="FF000000"/>
        <rFont val="Arial"/>
        <family val="0"/>
        <charset val="1"/>
      </rPr>
      <t xml:space="preserve">200 m³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</si>
  <si>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Arial"/>
        <family val="0"/>
        <charset val="1"/>
      </rPr>
      <t xml:space="preserve">RFI 31</t>
    </r>
    <r>
      <rPr>
        <sz val="9"/>
        <color rgb="FF5B6068"/>
        <rFont val="Noto Sans CJK SC"/>
        <family val="2"/>
      </rPr>
      <t xml:space="preserve">：尺寸位置是否仍有效待確認</t>
    </r>
  </si>
  <si>
    <r>
      <rPr>
        <sz val="10"/>
        <color rgb="FF000000"/>
        <rFont val="Noto Sans CJK SC"/>
        <family val="2"/>
      </rPr>
      <t xml:space="preserve">深水井 </t>
    </r>
    <r>
      <rPr>
        <sz val="10"/>
        <color rgb="FF000000"/>
        <rFont val="Arial"/>
        <family val="0"/>
        <charset val="1"/>
      </rPr>
      <t xml:space="preserve">150 m</t>
    </r>
  </si>
  <si>
    <t xml:space="preserve">口</t>
  </si>
  <si>
    <r>
      <rPr>
        <sz val="10"/>
        <color rgb="FF000000"/>
        <rFont val="Noto Sans CJK SC"/>
        <family val="2"/>
      </rPr>
      <t xml:space="preserve">空壓機 </t>
    </r>
    <r>
      <rPr>
        <sz val="10"/>
        <color rgb="FF000000"/>
        <rFont val="Arial"/>
        <family val="0"/>
        <charset val="1"/>
      </rPr>
      <t xml:space="preserve">200HP × 7 kg/cm² + 200HP × 10 kg/cm² + </t>
    </r>
    <r>
      <rPr>
        <sz val="10"/>
        <color rgb="FF000000"/>
        <rFont val="Noto Sans CJK SC"/>
        <family val="2"/>
      </rPr>
      <t xml:space="preserve">冷乾機（設備採購）</t>
    </r>
  </si>
  <si>
    <r>
      <rPr>
        <sz val="9"/>
        <color rgb="FF5B6068"/>
        <rFont val="Arial"/>
        <family val="0"/>
        <charset val="1"/>
      </rPr>
      <t xml:space="preserve">RFI 32</t>
    </r>
    <r>
      <rPr>
        <sz val="9"/>
        <color rgb="FF5B6068"/>
        <rFont val="Noto Sans CJK SC"/>
        <family val="2"/>
      </rPr>
      <t xml:space="preserve">：由 </t>
    </r>
    <r>
      <rPr>
        <sz val="9"/>
        <color rgb="FF5B6068"/>
        <rFont val="Arial"/>
        <family val="0"/>
        <charset val="1"/>
      </rPr>
      <t xml:space="preserve">S&amp;W </t>
    </r>
    <r>
      <rPr>
        <sz val="9"/>
        <color rgb="FF5B6068"/>
        <rFont val="Noto Sans CJK SC"/>
        <family val="2"/>
      </rPr>
      <t xml:space="preserve">或設備商；此為採購參考價，若 </t>
    </r>
    <r>
      <rPr>
        <sz val="9"/>
        <color rgb="FF5B6068"/>
        <rFont val="Arial"/>
        <family val="0"/>
        <charset val="1"/>
      </rPr>
      <t xml:space="preserve">ACELON </t>
    </r>
    <r>
      <rPr>
        <sz val="9"/>
        <color rgb="FF5B6068"/>
        <rFont val="Noto Sans CJK SC"/>
        <family val="2"/>
      </rPr>
      <t xml:space="preserve">自購請剔除</t>
    </r>
  </si>
  <si>
    <r>
      <rPr>
        <sz val="10"/>
        <color rgb="FF000000"/>
        <rFont val="Noto Sans CJK SC"/>
        <family val="2"/>
      </rPr>
      <t xml:space="preserve">冷卻水塔 </t>
    </r>
    <r>
      <rPr>
        <sz val="10"/>
        <color rgb="FF000000"/>
        <rFont val="Arial"/>
        <family val="0"/>
        <charset val="1"/>
      </rPr>
      <t xml:space="preserve">CWS/CCWS 2 </t>
    </r>
    <r>
      <rPr>
        <sz val="10"/>
        <color rgb="FF000000"/>
        <rFont val="Noto Sans CJK SC"/>
        <family val="2"/>
      </rPr>
      <t xml:space="preserve">座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水泵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管路至管架</t>
    </r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</si>
  <si>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5. </t>
    </r>
    <r>
      <rPr>
        <b val="true"/>
        <sz val="10"/>
        <color rgb="FF000000"/>
        <rFont val="Noto Sans CJK SC"/>
        <family val="2"/>
      </rPr>
      <t xml:space="preserve">公用設備（土建整合部分；設備本體是否納入待 </t>
    </r>
    <r>
      <rPr>
        <b val="true"/>
        <sz val="10"/>
        <color rgb="FF000000"/>
        <rFont val="Arial"/>
        <family val="0"/>
        <charset val="1"/>
      </rPr>
      <t xml:space="preserve">RFI 32</t>
    </r>
    <r>
      <rPr>
        <b val="true"/>
        <sz val="10"/>
        <color rgb="FF000000"/>
        <rFont val="Noto Sans CJK SC"/>
        <family val="2"/>
      </rPr>
      <t xml:space="preserve">）</t>
    </r>
  </si>
  <si>
    <r>
      <rPr>
        <b val="true"/>
        <sz val="14"/>
        <color rgb="FF000000"/>
        <rFont val="Noto Sans CJK SC"/>
        <family val="2"/>
      </rPr>
      <t xml:space="preserve">基地工程（第一次租賃範圍 </t>
    </r>
    <r>
      <rPr>
        <b val="true"/>
        <sz val="14"/>
        <color rgb="FF000000"/>
        <rFont val="Arial"/>
        <family val="0"/>
        <charset val="1"/>
      </rPr>
      <t xml:space="preserve">158 × 106 m</t>
    </r>
    <r>
      <rPr>
        <b val="true"/>
        <sz val="14"/>
        <color rgb="FF000000"/>
        <rFont val="Noto Sans CJK SC"/>
        <family val="2"/>
      </rPr>
      <t xml:space="preserve">）— 直接成本明細</t>
    </r>
  </si>
  <si>
    <r>
      <rPr>
        <i val="true"/>
        <sz val="10"/>
        <color rgb="FF5B6068"/>
        <rFont val="Noto Sans CJK SC"/>
        <family val="2"/>
      </rPr>
      <t xml:space="preserve">二／三期預定地與辦公室預定地未計（</t>
    </r>
    <r>
      <rPr>
        <i val="true"/>
        <sz val="10"/>
        <color rgb="FF5B6068"/>
        <rFont val="Arial"/>
        <family val="0"/>
        <charset val="1"/>
      </rPr>
      <t xml:space="preserve">RFI 1</t>
    </r>
    <r>
      <rPr>
        <i val="true"/>
        <sz val="10"/>
        <color rgb="FF5B6068"/>
        <rFont val="Noto Sans CJK SC"/>
        <family val="2"/>
      </rPr>
      <t xml:space="preserve">）。</t>
    </r>
  </si>
  <si>
    <t xml:space="preserve">整地與圍牆</t>
  </si>
  <si>
    <r>
      <rPr>
        <sz val="10"/>
        <color rgb="FF000000"/>
        <rFont val="Noto Sans CJK SC"/>
        <family val="2"/>
      </rPr>
      <t xml:space="preserve">整地、表土剝除、粗整平（第一次租賃範圍 </t>
    </r>
    <r>
      <rPr>
        <sz val="10"/>
        <color rgb="FF000000"/>
        <rFont val="Arial"/>
        <family val="0"/>
        <charset val="1"/>
      </rPr>
      <t xml:space="preserve">158 × 106 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</si>
  <si>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Noto Sans CJK SC"/>
        <family val="2"/>
      </rPr>
      <t xml:space="preserve">含 </t>
    </r>
    <r>
      <rPr>
        <sz val="9"/>
        <color rgb="FF5B6068"/>
        <rFont val="Arial"/>
        <family val="0"/>
        <charset val="1"/>
      </rPr>
      <t xml:space="preserve">30 cm </t>
    </r>
    <r>
      <rPr>
        <sz val="9"/>
        <color rgb="FF5B6068"/>
        <rFont val="Noto Sans CJK SC"/>
        <family val="2"/>
      </rPr>
      <t xml:space="preserve">表土剝除、填方 </t>
    </r>
    <r>
      <rPr>
        <sz val="9"/>
        <color rgb="FF5B6068"/>
        <rFont val="Arial"/>
        <family val="0"/>
        <charset val="1"/>
      </rPr>
      <t xml:space="preserve">20 cm</t>
    </r>
  </si>
  <si>
    <r>
      <rPr>
        <sz val="10"/>
        <color rgb="FF000000"/>
        <rFont val="Noto Sans CJK SC"/>
        <family val="2"/>
      </rPr>
      <t xml:space="preserve">四周圍牆及樑柱（</t>
    </r>
    <r>
      <rPr>
        <sz val="10"/>
        <color rgb="FF000000"/>
        <rFont val="Arial"/>
        <family val="0"/>
        <charset val="1"/>
      </rPr>
      <t xml:space="preserve">P0A30170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</si>
  <si>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Noto Sans CJK SC"/>
        <family val="2"/>
      </rPr>
      <t xml:space="preserve">周長 </t>
    </r>
    <r>
      <rPr>
        <sz val="9"/>
        <color rgb="FF5B6068"/>
        <rFont val="Arial"/>
        <family val="0"/>
        <charset val="1"/>
      </rPr>
      <t xml:space="preserve">528 m</t>
    </r>
  </si>
  <si>
    <r>
      <rPr>
        <sz val="10"/>
        <color rgb="FF000000"/>
        <rFont val="Noto Sans CJK SC"/>
        <family val="2"/>
      </rPr>
      <t xml:space="preserve">大門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處（西側宿舍大門、工廠大門；南側 </t>
    </r>
    <r>
      <rPr>
        <sz val="10"/>
        <color rgb="FF000000"/>
        <rFont val="Arial"/>
        <family val="0"/>
        <charset val="1"/>
      </rPr>
      <t xml:space="preserve">22 m </t>
    </r>
    <r>
      <rPr>
        <sz val="10"/>
        <color rgb="FF000000"/>
        <rFont val="Noto Sans CJK SC"/>
        <family val="2"/>
      </rPr>
      <t xml:space="preserve">大門）</t>
    </r>
  </si>
  <si>
    <t xml:space="preserve">電動伸縮門</t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</si>
  <si>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1. </t>
    </r>
    <r>
      <rPr>
        <b val="true"/>
        <sz val="10"/>
        <color rgb="FF000000"/>
        <rFont val="Noto Sans CJK SC"/>
        <family val="2"/>
      </rPr>
      <t xml:space="preserve">整地與圍牆</t>
    </r>
  </si>
  <si>
    <t xml:space="preserve">道路與鋪面</t>
  </si>
  <si>
    <r>
      <rPr>
        <sz val="10"/>
        <color rgb="FF000000"/>
        <rFont val="Noto Sans CJK SC"/>
        <family val="2"/>
      </rPr>
      <t xml:space="preserve">廠區道路、卸貨區、停車場混凝土鋪面 </t>
    </r>
    <r>
      <rPr>
        <sz val="10"/>
        <color rgb="FF000000"/>
        <rFont val="Arial"/>
        <family val="0"/>
        <charset val="1"/>
      </rPr>
      <t xml:space="preserve">18 cm</t>
    </r>
  </si>
  <si>
    <r>
      <rPr>
        <sz val="9"/>
        <color rgb="FF5B6068"/>
        <rFont val="Noto Sans CJK SC"/>
        <family val="2"/>
      </rPr>
      <t xml:space="preserve">北側投料區 </t>
    </r>
    <r>
      <rPr>
        <sz val="9"/>
        <color rgb="FF5B6068"/>
        <rFont val="Arial"/>
        <family val="0"/>
        <charset val="1"/>
      </rPr>
      <t xml:space="preserve">5 m </t>
    </r>
    <r>
      <rPr>
        <sz val="9"/>
        <color rgb="FF5B6068"/>
        <rFont val="Noto Sans CJK SC"/>
        <family val="2"/>
      </rPr>
      <t xml:space="preserve">帶、東側 </t>
    </r>
    <r>
      <rPr>
        <sz val="9"/>
        <color rgb="FF5B6068"/>
        <rFont val="Arial"/>
        <family val="0"/>
        <charset val="1"/>
      </rPr>
      <t xml:space="preserve">6 m </t>
    </r>
    <r>
      <rPr>
        <sz val="9"/>
        <color rgb="FF5B6068"/>
        <rFont val="Noto Sans CJK SC"/>
        <family val="2"/>
      </rPr>
      <t xml:space="preserve">帶、南側 </t>
    </r>
    <r>
      <rPr>
        <sz val="9"/>
        <color rgb="FF5B6068"/>
        <rFont val="Arial"/>
        <family val="0"/>
        <charset val="1"/>
      </rPr>
      <t xml:space="preserve">27.5 m </t>
    </r>
    <r>
      <rPr>
        <sz val="9"/>
        <color rgb="FF5B6068"/>
        <rFont val="Noto Sans CJK SC"/>
        <family val="2"/>
      </rPr>
      <t xml:space="preserve">帶、西側通道</t>
    </r>
  </si>
  <si>
    <r>
      <rPr>
        <sz val="10"/>
        <color rgb="FF000000"/>
        <rFont val="Noto Sans CJK SC"/>
        <family val="2"/>
      </rPr>
      <t xml:space="preserve">投料區及粒包暫存區鋪面強化（</t>
    </r>
    <r>
      <rPr>
        <sz val="10"/>
        <color rgb="FF000000"/>
        <rFont val="Arial"/>
        <family val="0"/>
        <charset val="1"/>
      </rPr>
      <t xml:space="preserve">30 cm 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</si>
  <si>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Arial"/>
        <family val="0"/>
        <charset val="1"/>
      </rPr>
      <t xml:space="preserve">P0A30011 </t>
    </r>
    <r>
      <rPr>
        <sz val="9"/>
        <color rgb="FF5B6068"/>
        <rFont val="Noto Sans CJK SC"/>
        <family val="2"/>
      </rPr>
      <t xml:space="preserve">北側</t>
    </r>
  </si>
  <si>
    <r>
      <rPr>
        <sz val="10"/>
        <color rgb="FF000000"/>
        <rFont val="Noto Sans CJK SC"/>
        <family val="2"/>
      </rPr>
      <t xml:space="preserve">吊裝平台（</t>
    </r>
    <r>
      <rPr>
        <sz val="10"/>
        <color rgb="FF000000"/>
        <rFont val="Arial"/>
        <family val="0"/>
        <charset val="1"/>
      </rPr>
      <t xml:space="preserve">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× 4 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</si>
  <si>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Arial"/>
        <family val="0"/>
        <charset val="1"/>
      </rPr>
      <t xml:space="preserve">P0A30011 </t>
    </r>
    <r>
      <rPr>
        <sz val="9"/>
        <color rgb="FF5B6068"/>
        <rFont val="Noto Sans CJK SC"/>
        <family val="2"/>
      </rPr>
      <t xml:space="preserve">南端</t>
    </r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</si>
  <si>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2. </t>
    </r>
    <r>
      <rPr>
        <b val="true"/>
        <sz val="10"/>
        <color rgb="FF000000"/>
        <rFont val="Noto Sans CJK SC"/>
        <family val="2"/>
      </rPr>
      <t xml:space="preserve">道路與鋪面</t>
    </r>
  </si>
  <si>
    <t xml:space="preserve">守衛與附屬</t>
  </si>
  <si>
    <r>
      <rPr>
        <sz val="10"/>
        <color rgb="FF000000"/>
        <rFont val="Noto Sans CJK SC"/>
        <family val="2"/>
      </rPr>
      <t xml:space="preserve">守衛室／會客室／餐廳（</t>
    </r>
    <r>
      <rPr>
        <sz val="10"/>
        <color rgb="FF000000"/>
        <rFont val="Arial"/>
        <family val="0"/>
        <charset val="1"/>
      </rPr>
      <t xml:space="preserve">66 m², 1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</si>
  <si>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B6068"/>
        <rFont val="Noto Sans CJK SC"/>
        <family val="2"/>
      </rPr>
      <t xml:space="preserve">一般 </t>
    </r>
    <r>
      <rPr>
        <sz val="9"/>
        <color rgb="FF5B6068"/>
        <rFont val="Arial"/>
        <family val="0"/>
        <charset val="1"/>
      </rPr>
      <t xml:space="preserve">RC</t>
    </r>
    <r>
      <rPr>
        <sz val="9"/>
        <color rgb="FF5B6068"/>
        <rFont val="Noto Sans CJK SC"/>
        <family val="2"/>
      </rPr>
      <t xml:space="preserve">＋磚造建物行情 </t>
    </r>
    <r>
      <rPr>
        <sz val="9"/>
        <color rgb="FF5B6068"/>
        <rFont val="Arial"/>
        <family val="0"/>
        <charset val="1"/>
      </rPr>
      <t xml:space="preserve">USD 550–700/m²</t>
    </r>
  </si>
  <si>
    <r>
      <rPr>
        <sz val="10"/>
        <color rgb="FF000000"/>
        <rFont val="Noto Sans CJK SC"/>
        <family val="2"/>
      </rPr>
      <t xml:space="preserve">地磅 </t>
    </r>
    <r>
      <rPr>
        <sz val="10"/>
        <color rgb="FF000000"/>
        <rFont val="Arial"/>
        <family val="0"/>
        <charset val="1"/>
      </rPr>
      <t xml:space="preserve">100 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m</t>
    </r>
    <r>
      <rPr>
        <sz val="10"/>
        <color rgb="FF000000"/>
        <rFont val="Noto Sans CJK SC"/>
        <family val="2"/>
      </rPr>
      <t xml:space="preserve">）含基礎與儀表</t>
    </r>
  </si>
  <si>
    <r>
      <rPr>
        <sz val="9"/>
        <color rgb="FF5B6068"/>
        <rFont val="Arial"/>
        <family val="0"/>
        <charset val="1"/>
      </rPr>
      <t xml:space="preserve">ACELON </t>
    </r>
    <r>
      <rPr>
        <sz val="9"/>
        <color rgb="FF5B6068"/>
        <rFont val="Noto Sans CJK SC"/>
        <family val="2"/>
      </rPr>
      <t xml:space="preserve">概算 </t>
    </r>
    <r>
      <rPr>
        <sz val="9"/>
        <color rgb="FF5B6068"/>
        <rFont val="Arial"/>
        <family val="0"/>
        <charset val="1"/>
      </rPr>
      <t xml:space="preserve">NT$350,000</t>
    </r>
  </si>
  <si>
    <r>
      <rPr>
        <sz val="10"/>
        <color rgb="FF000000"/>
        <rFont val="Arial"/>
        <family val="0"/>
        <charset val="1"/>
      </rPr>
      <t xml:space="preserve">A/I </t>
    </r>
    <r>
      <rPr>
        <sz val="10"/>
        <color rgb="FF000000"/>
        <rFont val="Noto Sans CJK SC"/>
        <family val="2"/>
      </rPr>
      <t xml:space="preserve">間（儀用空氣，</t>
    </r>
    <r>
      <rPr>
        <sz val="10"/>
        <color rgb="FF000000"/>
        <rFont val="Arial"/>
        <family val="0"/>
        <charset val="1"/>
      </rPr>
      <t xml:space="preserve">5 × 5 m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</si>
  <si>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3. </t>
    </r>
    <r>
      <rPr>
        <b val="true"/>
        <sz val="10"/>
        <color rgb="FF000000"/>
        <rFont val="Noto Sans CJK SC"/>
        <family val="2"/>
      </rPr>
      <t xml:space="preserve">守衛與附屬</t>
    </r>
  </si>
  <si>
    <t xml:space="preserve">公用管架與廠區管線</t>
  </si>
  <si>
    <r>
      <rPr>
        <sz val="10"/>
        <color rgb="FF000000"/>
        <rFont val="Noto Sans CJK SC"/>
        <family val="2"/>
      </rPr>
      <t xml:space="preserve">公用管架（</t>
    </r>
    <r>
      <rPr>
        <sz val="10"/>
        <color rgb="FF000000"/>
        <rFont val="Arial"/>
        <family val="0"/>
        <charset val="1"/>
      </rPr>
      <t xml:space="preserve">3 m </t>
    </r>
    <r>
      <rPr>
        <sz val="10"/>
        <color rgb="FF000000"/>
        <rFont val="Noto Sans CJK SC"/>
        <family val="2"/>
      </rPr>
      <t xml:space="preserve">寬 </t>
    </r>
    <r>
      <rPr>
        <sz val="10"/>
        <color rgb="FF000000"/>
        <rFont val="Arial"/>
        <family val="0"/>
        <charset val="1"/>
      </rPr>
      <t xml:space="preserve">× 5 m </t>
    </r>
    <r>
      <rPr>
        <sz val="10"/>
        <color rgb="FF000000"/>
        <rFont val="Noto Sans CJK SC"/>
        <family val="2"/>
      </rPr>
      <t xml:space="preserve">高，</t>
    </r>
    <r>
      <rPr>
        <sz val="10"/>
        <color rgb="FF000000"/>
        <rFont val="Arial"/>
        <family val="0"/>
        <charset val="1"/>
      </rPr>
      <t xml:space="preserve">61 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</si>
  <si>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B6068"/>
        <rFont val="Noto Sans CJK SC"/>
        <family val="2"/>
      </rPr>
      <t xml:space="preserve">公用區 → 原絲廠房管道間（</t>
    </r>
    <r>
      <rPr>
        <sz val="9"/>
        <color rgb="FF5B6068"/>
        <rFont val="Arial"/>
        <family val="0"/>
        <charset val="1"/>
      </rPr>
      <t xml:space="preserve">G detail</t>
    </r>
    <r>
      <rPr>
        <sz val="9"/>
        <color rgb="FF5B6068"/>
        <rFont val="Noto Sans CJK SC"/>
        <family val="2"/>
      </rPr>
      <t xml:space="preserve">：</t>
    </r>
    <r>
      <rPr>
        <sz val="9"/>
        <color rgb="FF5B6068"/>
        <rFont val="Arial"/>
        <family val="0"/>
        <charset val="1"/>
      </rPr>
      <t xml:space="preserve">18 </t>
    </r>
    <r>
      <rPr>
        <sz val="9"/>
        <color rgb="FF5B6068"/>
        <rFont val="Noto Sans CJK SC"/>
        <family val="2"/>
      </rPr>
      <t xml:space="preserve">種管線由業主自行處理，未計管材）</t>
    </r>
  </si>
  <si>
    <t xml:space="preserve">廠區照明、雨水排水、汙水管線、綠化</t>
  </si>
  <si>
    <r>
      <rPr>
        <sz val="9"/>
        <color rgb="FF5B6068"/>
        <rFont val="Noto Sans CJK SC"/>
        <family val="2"/>
      </rPr>
      <t xml:space="preserve">園區主幹管已由 </t>
    </r>
    <r>
      <rPr>
        <sz val="9"/>
        <color rgb="FF5B6068"/>
        <rFont val="Arial"/>
        <family val="0"/>
        <charset val="1"/>
      </rPr>
      <t xml:space="preserve">PTITP </t>
    </r>
    <r>
      <rPr>
        <sz val="9"/>
        <color rgb="FF5B6068"/>
        <rFont val="Noto Sans CJK SC"/>
        <family val="2"/>
      </rPr>
      <t xml:space="preserve">提供（供水／汙水／雨水系統圖）</t>
    </r>
  </si>
  <si>
    <r>
      <rPr>
        <sz val="10"/>
        <color rgb="FF000000"/>
        <rFont val="Noto Sans CJK SC"/>
        <family val="2"/>
      </rPr>
      <t xml:space="preserve">園區給水／汙水／雨水接管費及 </t>
    </r>
    <r>
      <rPr>
        <sz val="10"/>
        <color rgb="FF000000"/>
        <rFont val="Arial"/>
        <family val="0"/>
        <charset val="1"/>
      </rPr>
      <t xml:space="preserve">ANDE 23 kV </t>
    </r>
    <r>
      <rPr>
        <sz val="10"/>
        <color rgb="FF000000"/>
        <rFont val="Noto Sans CJK SC"/>
        <family val="2"/>
      </rPr>
      <t xml:space="preserve">進線分攤</t>
    </r>
  </si>
  <si>
    <r>
      <rPr>
        <sz val="9"/>
        <color rgb="FF5B6068"/>
        <rFont val="Noto Sans CJK SC"/>
        <family val="2"/>
      </rPr>
      <t xml:space="preserve">依 </t>
    </r>
    <r>
      <rPr>
        <sz val="9"/>
        <color rgb="FF5B6068"/>
        <rFont val="Arial"/>
        <family val="0"/>
        <charset val="1"/>
      </rPr>
      <t xml:space="preserve">PTITP </t>
    </r>
    <r>
      <rPr>
        <sz val="9"/>
        <color rgb="FF5B6068"/>
        <rFont val="Noto Sans CJK SC"/>
        <family val="2"/>
      </rPr>
      <t xml:space="preserve">與 </t>
    </r>
    <r>
      <rPr>
        <sz val="9"/>
        <color rgb="FF5B6068"/>
        <rFont val="Arial"/>
        <family val="0"/>
        <charset val="1"/>
      </rPr>
      <t xml:space="preserve">ANDE </t>
    </r>
    <r>
      <rPr>
        <sz val="9"/>
        <color rgb="FF5B6068"/>
        <rFont val="Noto Sans CJK SC"/>
        <family val="2"/>
      </rPr>
      <t xml:space="preserve">協商（</t>
    </r>
    <r>
      <rPr>
        <sz val="9"/>
        <color rgb="FF5B6068"/>
        <rFont val="Arial"/>
        <family val="0"/>
        <charset val="1"/>
      </rPr>
      <t xml:space="preserve">ptitp‑ande </t>
    </r>
    <r>
      <rPr>
        <sz val="9"/>
        <color rgb="FF5B6068"/>
        <rFont val="Noto Sans CJK SC"/>
        <family val="2"/>
      </rPr>
      <t xml:space="preserve">案）；示意值</t>
    </r>
  </si>
  <si>
    <r>
      <rPr>
        <b val="true"/>
        <sz val="10"/>
        <color rgb="FF000000"/>
        <rFont val="Noto Sans CJK SC"/>
        <family val="2"/>
      </rPr>
      <t xml:space="preserve">小計 </t>
    </r>
    <r>
      <rPr>
        <b val="true"/>
        <sz val="10"/>
        <color rgb="FF000000"/>
        <rFont val="Arial"/>
        <family val="0"/>
        <charset val="1"/>
      </rPr>
      <t xml:space="preserve">4. </t>
    </r>
    <r>
      <rPr>
        <b val="true"/>
        <sz val="10"/>
        <color rgb="FF000000"/>
        <rFont val="Noto Sans CJK SC"/>
        <family val="2"/>
      </rPr>
      <t xml:space="preserve">公用管架與廠區管線</t>
    </r>
  </si>
  <si>
    <r>
      <rPr>
        <b val="true"/>
        <sz val="14"/>
        <color rgb="FF000000"/>
        <rFont val="Noto Sans CJK SC"/>
        <family val="2"/>
      </rPr>
      <t xml:space="preserve">影響造價之未決事項（對應 </t>
    </r>
    <r>
      <rPr>
        <b val="true"/>
        <sz val="14"/>
        <color rgb="FF000000"/>
        <rFont val="Arial"/>
        <family val="0"/>
        <charset val="1"/>
      </rPr>
      <t xml:space="preserve">Salum &amp; Wenz RFI </t>
    </r>
    <r>
      <rPr>
        <b val="true"/>
        <sz val="14"/>
        <color rgb="FF000000"/>
        <rFont val="Noto Sans CJK SC"/>
        <family val="2"/>
      </rPr>
      <t xml:space="preserve">與 </t>
    </r>
    <r>
      <rPr>
        <b val="true"/>
        <sz val="14"/>
        <color rgb="FF000000"/>
        <rFont val="Arial"/>
        <family val="0"/>
        <charset val="1"/>
      </rPr>
      <t xml:space="preserve">9/4 </t>
    </r>
    <r>
      <rPr>
        <b val="true"/>
        <sz val="14"/>
        <color rgb="FF000000"/>
        <rFont val="Noto Sans CJK SC"/>
        <family val="2"/>
      </rPr>
      <t xml:space="preserve">回覆）</t>
    </r>
  </si>
  <si>
    <t xml:space="preserve">每項給出對總價的可能影響區間，供決策參考。</t>
  </si>
  <si>
    <t xml:space="preserve">RFI</t>
  </si>
  <si>
    <t xml:space="preserve">事項</t>
  </si>
  <si>
    <t xml:space="preserve">目前估算假設</t>
  </si>
  <si>
    <r>
      <rPr>
        <b val="true"/>
        <sz val="10"/>
        <color rgb="FFFFFFFF"/>
        <rFont val="Noto Sans CJK SC"/>
        <family val="2"/>
      </rPr>
      <t xml:space="preserve">可能影響 </t>
    </r>
    <r>
      <rPr>
        <b val="true"/>
        <sz val="10"/>
        <color rgb="FFFFFFFF"/>
        <rFont val="Arial"/>
        <family val="0"/>
        <charset val="1"/>
      </rPr>
      <t xml:space="preserve">(USD)</t>
    </r>
  </si>
  <si>
    <t xml:space="preserve">27</t>
  </si>
  <si>
    <t xml:space="preserve">地質鑽探尚未執行，基礎深度未定</t>
  </si>
  <si>
    <r>
      <rPr>
        <sz val="10"/>
        <color rgb="FF000000"/>
        <rFont val="Noto Sans CJK SC"/>
        <family val="2"/>
      </rPr>
      <t xml:space="preserve">擴大基礎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座 </t>
    </r>
    <r>
      <rPr>
        <sz val="10"/>
        <color rgb="FF000000"/>
        <rFont val="Arial"/>
        <family val="0"/>
        <charset val="1"/>
      </rPr>
      <t xml:space="preserve">3.5×3.5×0.9 m</t>
    </r>
  </si>
  <si>
    <r>
      <rPr>
        <sz val="10"/>
        <color rgb="FF000000"/>
        <rFont val="Arial"/>
        <family val="0"/>
        <charset val="1"/>
      </rPr>
      <t xml:space="preserve">+80,000 </t>
    </r>
    <r>
      <rPr>
        <sz val="10"/>
        <color rgb="FF000000"/>
        <rFont val="Noto Sans CJK SC"/>
        <family val="2"/>
      </rPr>
      <t xml:space="preserve">～ </t>
    </r>
    <r>
      <rPr>
        <sz val="10"/>
        <color rgb="FF000000"/>
        <rFont val="Arial"/>
        <family val="0"/>
        <charset val="1"/>
      </rPr>
      <t xml:space="preserve">+350,000</t>
    </r>
  </si>
  <si>
    <r>
      <rPr>
        <sz val="9"/>
        <color rgb="FF5B6068"/>
        <rFont val="Arial"/>
        <family val="0"/>
        <charset val="1"/>
      </rPr>
      <t xml:space="preserve">Minga Guazú </t>
    </r>
    <r>
      <rPr>
        <sz val="9"/>
        <color rgb="FF5B6068"/>
        <rFont val="Noto Sans CJK SC"/>
        <family val="2"/>
      </rPr>
      <t xml:space="preserve">紅土層若承載力不足需改樁基（</t>
    </r>
    <r>
      <rPr>
        <sz val="9"/>
        <color rgb="FF5B6068"/>
        <rFont val="Arial"/>
        <family val="0"/>
        <charset val="1"/>
      </rPr>
      <t xml:space="preserve">30 </t>
    </r>
    <r>
      <rPr>
        <sz val="9"/>
        <color rgb="FF5B6068"/>
        <rFont val="Noto Sans CJK SC"/>
        <family val="2"/>
      </rPr>
      <t xml:space="preserve">支 </t>
    </r>
    <r>
      <rPr>
        <sz val="9"/>
        <color rgb="FF5B6068"/>
        <rFont val="Arial"/>
        <family val="0"/>
        <charset val="1"/>
      </rPr>
      <t xml:space="preserve">× 12 m </t>
    </r>
    <r>
      <rPr>
        <sz val="9"/>
        <color rgb="FF5B6068"/>
        <rFont val="Noto Sans CJK SC"/>
        <family val="2"/>
      </rPr>
      <t xml:space="preserve">鑽掘樁約 </t>
    </r>
    <r>
      <rPr>
        <sz val="9"/>
        <color rgb="FF5B6068"/>
        <rFont val="Arial"/>
        <family val="0"/>
        <charset val="1"/>
      </rPr>
      <t xml:space="preserve">USD 300k</t>
    </r>
    <r>
      <rPr>
        <sz val="9"/>
        <color rgb="FF5B6068"/>
        <rFont val="Noto Sans CJK SC"/>
        <family val="2"/>
      </rPr>
      <t xml:space="preserve">）</t>
    </r>
  </si>
  <si>
    <t xml:space="preserve">22/25</t>
  </si>
  <si>
    <t xml:space="preserve">設備實際荷重與振動（擠壓機、捲繞機）未提供</t>
  </si>
  <si>
    <r>
      <rPr>
        <sz val="10"/>
        <color rgb="FF000000"/>
        <rFont val="Noto Sans CJK SC"/>
        <family val="2"/>
      </rPr>
      <t xml:space="preserve">樓板 </t>
    </r>
    <r>
      <rPr>
        <sz val="10"/>
        <color rgb="FF000000"/>
        <rFont val="Arial"/>
        <family val="0"/>
        <charset val="1"/>
      </rPr>
      <t xml:space="preserve">1,000 kg/m² + </t>
    </r>
    <r>
      <rPr>
        <sz val="10"/>
        <color rgb="FF000000"/>
        <rFont val="Noto Sans CJK SC"/>
        <family val="2"/>
      </rPr>
      <t xml:space="preserve">圖面區域荷重</t>
    </r>
  </si>
  <si>
    <r>
      <rPr>
        <sz val="10"/>
        <color rgb="FF000000"/>
        <rFont val="Arial"/>
        <family val="0"/>
        <charset val="1"/>
      </rPr>
      <t xml:space="preserve">+50,000 </t>
    </r>
    <r>
      <rPr>
        <sz val="10"/>
        <color rgb="FF000000"/>
        <rFont val="Noto Sans CJK SC"/>
        <family val="2"/>
      </rPr>
      <t xml:space="preserve">～ </t>
    </r>
    <r>
      <rPr>
        <sz val="10"/>
        <color rgb="FF000000"/>
        <rFont val="Arial"/>
        <family val="0"/>
        <charset val="1"/>
      </rPr>
      <t xml:space="preserve">+250,000</t>
    </r>
  </si>
  <si>
    <r>
      <rPr>
        <sz val="9"/>
        <color rgb="FF5B6068"/>
        <rFont val="Noto Sans CJK SC"/>
        <family val="2"/>
      </rPr>
      <t xml:space="preserve">若需獨立隔振基礎或加厚樓板，混凝土與鋼筋量增加 </t>
    </r>
    <r>
      <rPr>
        <sz val="9"/>
        <color rgb="FF5B6068"/>
        <rFont val="Arial"/>
        <family val="0"/>
        <charset val="1"/>
      </rPr>
      <t xml:space="preserve">5–10%</t>
    </r>
  </si>
  <si>
    <t xml:space="preserve">24</t>
  </si>
  <si>
    <r>
      <rPr>
        <sz val="10"/>
        <color rgb="FF000000"/>
        <rFont val="Arial"/>
        <family val="0"/>
        <charset val="1"/>
      </rPr>
      <t xml:space="preserve">4F </t>
    </r>
    <r>
      <rPr>
        <sz val="10"/>
        <color rgb="FF000000"/>
        <rFont val="Noto Sans CJK SC"/>
        <family val="2"/>
      </rPr>
      <t xml:space="preserve">天車噸位與工作等級未定</t>
    </r>
  </si>
  <si>
    <r>
      <rPr>
        <sz val="10"/>
        <color rgb="FF000000"/>
        <rFont val="Arial"/>
        <family val="0"/>
        <charset val="1"/>
      </rPr>
      <t xml:space="preserve">3 t </t>
    </r>
    <r>
      <rPr>
        <sz val="10"/>
        <color rgb="FF000000"/>
        <rFont val="Noto Sans CJK SC"/>
        <family val="2"/>
      </rPr>
      <t xml:space="preserve">級軌道 </t>
    </r>
    <r>
      <rPr>
        <sz val="10"/>
        <color rgb="FF000000"/>
        <rFont val="Arial"/>
        <family val="0"/>
        <charset val="1"/>
      </rPr>
      <t xml:space="preserve">2 × 73 m</t>
    </r>
  </si>
  <si>
    <t xml:space="preserve">±30,000</t>
  </si>
  <si>
    <r>
      <rPr>
        <sz val="9"/>
        <color rgb="FF5B6068"/>
        <rFont val="Arial"/>
        <family val="0"/>
        <charset val="1"/>
      </rPr>
      <t xml:space="preserve">5 t </t>
    </r>
    <r>
      <rPr>
        <sz val="9"/>
        <color rgb="FF5B6068"/>
        <rFont val="Noto Sans CJK SC"/>
        <family val="2"/>
      </rPr>
      <t xml:space="preserve">級約 </t>
    </r>
    <r>
      <rPr>
        <sz val="9"/>
        <color rgb="FF5B6068"/>
        <rFont val="Arial"/>
        <family val="0"/>
        <charset val="1"/>
      </rPr>
      <t xml:space="preserve">+USD 25k</t>
    </r>
  </si>
  <si>
    <t xml:space="preserve">23</t>
  </si>
  <si>
    <r>
      <rPr>
        <sz val="10"/>
        <color rgb="FF000000"/>
        <rFont val="Arial"/>
        <family val="0"/>
        <charset val="1"/>
      </rPr>
      <t xml:space="preserve">20 mm </t>
    </r>
    <r>
      <rPr>
        <sz val="10"/>
        <color rgb="FF000000"/>
        <rFont val="Noto Sans CJK SC"/>
        <family val="2"/>
      </rPr>
      <t xml:space="preserve">鋼底板 </t>
    </r>
    <r>
      <rPr>
        <sz val="10"/>
        <color rgb="FF000000"/>
        <rFont val="Arial"/>
        <family val="0"/>
        <charset val="1"/>
      </rPr>
      <t xml:space="preserve">3.8 × 8 m </t>
    </r>
    <r>
      <rPr>
        <sz val="10"/>
        <color rgb="FF000000"/>
        <rFont val="Noto Sans CJK SC"/>
        <family val="2"/>
      </rPr>
      <t xml:space="preserve">是否為獨立設備基礎</t>
    </r>
  </si>
  <si>
    <r>
      <rPr>
        <sz val="10"/>
        <color rgb="FF000000"/>
        <rFont val="Noto Sans CJK SC"/>
        <family val="2"/>
      </rPr>
      <t xml:space="preserve">計入鋼板 </t>
    </r>
    <r>
      <rPr>
        <sz val="10"/>
        <color rgb="FF000000"/>
        <rFont val="Arial"/>
        <family val="0"/>
        <charset val="1"/>
      </rPr>
      <t xml:space="preserve">4,770 kg</t>
    </r>
  </si>
  <si>
    <r>
      <rPr>
        <sz val="10"/>
        <color rgb="FF000000"/>
        <rFont val="Arial"/>
        <family val="0"/>
        <charset val="1"/>
      </rPr>
      <t xml:space="preserve">−12,000 </t>
    </r>
    <r>
      <rPr>
        <sz val="10"/>
        <color rgb="FF000000"/>
        <rFont val="Noto Sans CJK SC"/>
        <family val="2"/>
      </rPr>
      <t xml:space="preserve">～ </t>
    </r>
    <r>
      <rPr>
        <sz val="10"/>
        <color rgb="FF000000"/>
        <rFont val="Arial"/>
        <family val="0"/>
        <charset val="1"/>
      </rPr>
      <t xml:space="preserve">+40,000</t>
    </r>
  </si>
  <si>
    <t xml:space="preserve">28/29</t>
  </si>
  <si>
    <t xml:space="preserve">變電站容量與位置、發電機容量</t>
  </si>
  <si>
    <r>
      <rPr>
        <sz val="10"/>
        <color rgb="FF000000"/>
        <rFont val="Arial"/>
        <family val="0"/>
        <charset val="1"/>
      </rPr>
      <t xml:space="preserve">2 × 2,000 kVA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800 kVA</t>
    </r>
  </si>
  <si>
    <t xml:space="preserve">±150,000</t>
  </si>
  <si>
    <r>
      <rPr>
        <sz val="9"/>
        <color rgb="FF5B6068"/>
        <rFont val="Noto Sans CJK SC"/>
        <family val="2"/>
      </rPr>
      <t xml:space="preserve">兩份負載表功率不同；</t>
    </r>
    <r>
      <rPr>
        <sz val="9"/>
        <color rgb="FF5B6068"/>
        <rFont val="Arial"/>
        <family val="0"/>
        <charset val="1"/>
      </rPr>
      <t xml:space="preserve">ANDE 23 kV </t>
    </r>
    <r>
      <rPr>
        <sz val="9"/>
        <color rgb="FF5B6068"/>
        <rFont val="Noto Sans CJK SC"/>
        <family val="2"/>
      </rPr>
      <t xml:space="preserve">進線工程另計（</t>
    </r>
    <r>
      <rPr>
        <sz val="9"/>
        <color rgb="FF5B6068"/>
        <rFont val="Arial"/>
        <family val="0"/>
        <charset val="1"/>
      </rPr>
      <t xml:space="preserve">PTITP </t>
    </r>
    <r>
      <rPr>
        <sz val="9"/>
        <color rgb="FF5B6068"/>
        <rFont val="Noto Sans CJK SC"/>
        <family val="2"/>
      </rPr>
      <t xml:space="preserve">協商中）</t>
    </r>
  </si>
  <si>
    <t xml:space="preserve">30/32</t>
  </si>
  <si>
    <t xml:space="preserve">製程公用管網與空壓機房由誰設計／採購</t>
  </si>
  <si>
    <t xml:space="preserve">空壓機、冷乾機、冷卻水塔採購列於公用廠房表</t>
  </si>
  <si>
    <r>
      <rPr>
        <sz val="10"/>
        <color rgb="FF000000"/>
        <rFont val="Arial"/>
        <family val="0"/>
        <charset val="1"/>
      </rPr>
      <t xml:space="preserve">−330,000</t>
    </r>
    <r>
      <rPr>
        <sz val="10"/>
        <color rgb="FF000000"/>
        <rFont val="Noto Sans CJK SC"/>
        <family val="2"/>
      </rPr>
      <t xml:space="preserve">（若 </t>
    </r>
    <r>
      <rPr>
        <sz val="10"/>
        <color rgb="FF000000"/>
        <rFont val="Arial"/>
        <family val="0"/>
        <charset val="1"/>
      </rPr>
      <t xml:space="preserve">ACELON </t>
    </r>
    <r>
      <rPr>
        <sz val="10"/>
        <color rgb="FF000000"/>
        <rFont val="Noto Sans CJK SC"/>
        <family val="2"/>
      </rPr>
      <t xml:space="preserve">自購）</t>
    </r>
  </si>
  <si>
    <t xml:space="preserve">剔除即減少</t>
  </si>
  <si>
    <t xml:space="preserve">31</t>
  </si>
  <si>
    <t xml:space="preserve">水井、過濾池、廢水槽尺寸位置是否仍有效</t>
  </si>
  <si>
    <t xml:space="preserve">100/100/200 m³ RC</t>
  </si>
  <si>
    <t xml:space="preserve">±60,000</t>
  </si>
  <si>
    <t xml:space="preserve">1</t>
  </si>
  <si>
    <t xml:space="preserve">是否同時開發二、三期預定地</t>
  </si>
  <si>
    <t xml:space="preserve">未計</t>
  </si>
  <si>
    <t xml:space="preserve">另案</t>
  </si>
  <si>
    <r>
      <rPr>
        <sz val="9"/>
        <color rgb="FF5B6068"/>
        <rFont val="Noto Sans CJK SC"/>
        <family val="2"/>
      </rPr>
      <t xml:space="preserve">二三期 </t>
    </r>
    <r>
      <rPr>
        <sz val="9"/>
        <color rgb="FF5B6068"/>
        <rFont val="Arial"/>
        <family val="0"/>
        <charset val="1"/>
      </rPr>
      <t xml:space="preserve">94 × 106 m </t>
    </r>
    <r>
      <rPr>
        <sz val="9"/>
        <color rgb="FF5B6068"/>
        <rFont val="Noto Sans CJK SC"/>
        <family val="2"/>
      </rPr>
      <t xml:space="preserve">整地約 </t>
    </r>
    <r>
      <rPr>
        <sz val="9"/>
        <color rgb="FF5B6068"/>
        <rFont val="Arial"/>
        <family val="0"/>
        <charset val="1"/>
      </rPr>
      <t xml:space="preserve">USD 30k</t>
    </r>
    <r>
      <rPr>
        <sz val="9"/>
        <color rgb="FF5B6068"/>
        <rFont val="Noto Sans CJK SC"/>
        <family val="2"/>
      </rPr>
      <t xml:space="preserve">；廠房另估</t>
    </r>
  </si>
  <si>
    <t xml:space="preserve">19</t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</si>
  <si>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屋頂板是否含鎂板</t>
    </r>
  </si>
  <si>
    <r>
      <rPr>
        <sz val="10"/>
        <color rgb="FF000000"/>
        <rFont val="Arial"/>
        <family val="0"/>
        <charset val="1"/>
      </rPr>
      <t xml:space="preserve">100 mm </t>
    </r>
    <r>
      <rPr>
        <sz val="10"/>
        <color rgb="FF000000"/>
        <rFont val="Noto Sans CJK SC"/>
        <family val="2"/>
      </rPr>
      <t xml:space="preserve">岩棉三明治板</t>
    </r>
  </si>
  <si>
    <r>
      <rPr>
        <sz val="10"/>
        <color rgb="FF000000"/>
        <rFont val="Arial"/>
        <family val="0"/>
        <charset val="1"/>
      </rPr>
      <t xml:space="preserve">+15,000 </t>
    </r>
    <r>
      <rPr>
        <sz val="10"/>
        <color rgb="FF000000"/>
        <rFont val="Noto Sans CJK SC"/>
        <family val="2"/>
      </rPr>
      <t xml:space="preserve">～ </t>
    </r>
    <r>
      <rPr>
        <sz val="10"/>
        <color rgb="FF000000"/>
        <rFont val="Arial"/>
        <family val="0"/>
        <charset val="1"/>
      </rPr>
      <t xml:space="preserve">+40,000</t>
    </r>
  </si>
  <si>
    <r>
      <rPr>
        <sz val="9"/>
        <color rgb="FF5B6068"/>
        <rFont val="Noto Sans CJK SC"/>
        <family val="2"/>
      </rPr>
      <t xml:space="preserve">若改鎂質防火板複合，單價 </t>
    </r>
    <r>
      <rPr>
        <sz val="9"/>
        <color rgb="FF5B6068"/>
        <rFont val="Arial"/>
        <family val="0"/>
        <charset val="1"/>
      </rPr>
      <t xml:space="preserve">+10–20%</t>
    </r>
  </si>
  <si>
    <t xml:space="preserve">—</t>
  </si>
  <si>
    <t xml:space="preserve">匯率與物價</t>
  </si>
  <si>
    <r>
      <rPr>
        <sz val="10"/>
        <color rgb="FF000000"/>
        <rFont val="Arial"/>
        <family val="0"/>
        <charset val="1"/>
      </rPr>
      <t xml:space="preserve">₲5,934.88/USD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CYPE 2024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+10%</t>
    </r>
  </si>
  <si>
    <t xml:space="preserve">±5%</t>
  </si>
  <si>
    <r>
      <rPr>
        <sz val="9"/>
        <color rgb="FF5B6068"/>
        <rFont val="Noto Sans CJK SC"/>
        <family val="2"/>
      </rPr>
      <t xml:space="preserve">巴拉圭營建成本以 ₲ 計價且持續上漲（</t>
    </r>
    <r>
      <rPr>
        <sz val="9"/>
        <color rgb="FF5B6068"/>
        <rFont val="Arial"/>
        <family val="0"/>
        <charset val="1"/>
      </rPr>
      <t xml:space="preserve">ABC 2026‑07</t>
    </r>
    <r>
      <rPr>
        <sz val="9"/>
        <color rgb="FF5B6068"/>
        <rFont val="Noto Sans CJK SC"/>
        <family val="2"/>
      </rPr>
      <t xml:space="preserve">）；鋼材受國際價格影響</t>
    </r>
  </si>
  <si>
    <t xml:space="preserve">稅務結構</t>
  </si>
  <si>
    <r>
      <rPr>
        <sz val="10"/>
        <color rgb="FF000000"/>
        <rFont val="Arial"/>
        <family val="0"/>
        <charset val="1"/>
      </rPr>
      <t xml:space="preserve">IVA 10% </t>
    </r>
    <r>
      <rPr>
        <sz val="10"/>
        <color rgb="FF000000"/>
        <rFont val="Noto Sans CJK SC"/>
        <family val="2"/>
      </rPr>
      <t xml:space="preserve">全額計入</t>
    </r>
  </si>
  <si>
    <t xml:space="preserve">−10%</t>
  </si>
  <si>
    <r>
      <rPr>
        <sz val="9"/>
        <color rgb="FF5B6068"/>
        <rFont val="Arial"/>
        <family val="0"/>
        <charset val="1"/>
      </rPr>
      <t xml:space="preserve">Maquila</t>
    </r>
    <r>
      <rPr>
        <sz val="9"/>
        <color rgb="FF5B6068"/>
        <rFont val="Noto Sans CJK SC"/>
        <family val="2"/>
      </rPr>
      <t xml:space="preserve">（</t>
    </r>
    <r>
      <rPr>
        <sz val="9"/>
        <color rgb="FF5B6068"/>
        <rFont val="Arial"/>
        <family val="0"/>
        <charset val="1"/>
      </rPr>
      <t xml:space="preserve">Ley 1064/97</t>
    </r>
    <r>
      <rPr>
        <sz val="9"/>
        <color rgb="FF5B6068"/>
        <rFont val="Noto Sans CJK SC"/>
        <family val="2"/>
      </rPr>
      <t xml:space="preserve">）或 </t>
    </r>
    <r>
      <rPr>
        <sz val="9"/>
        <color rgb="FF5B6068"/>
        <rFont val="Arial"/>
        <family val="0"/>
        <charset val="1"/>
      </rPr>
      <t xml:space="preserve">Ley 60/90 </t>
    </r>
    <r>
      <rPr>
        <sz val="9"/>
        <color rgb="FF5B6068"/>
        <rFont val="Noto Sans CJK SC"/>
        <family val="2"/>
      </rPr>
      <t xml:space="preserve">投資獎勵可免進口設備關稅與 </t>
    </r>
    <r>
      <rPr>
        <sz val="9"/>
        <color rgb="FF5B6068"/>
        <rFont val="Arial"/>
        <family val="0"/>
        <charset val="1"/>
      </rPr>
      <t xml:space="preserve">IVA</t>
    </r>
    <r>
      <rPr>
        <sz val="9"/>
        <color rgb="FF5B6068"/>
        <rFont val="Noto Sans CJK SC"/>
        <family val="2"/>
      </rPr>
      <t xml:space="preserve">；營建勞務 </t>
    </r>
    <r>
      <rPr>
        <sz val="9"/>
        <color rgb="FF5B6068"/>
        <rFont val="Arial"/>
        <family val="0"/>
        <charset val="1"/>
      </rPr>
      <t xml:space="preserve">IVA </t>
    </r>
    <r>
      <rPr>
        <sz val="9"/>
        <color rgb="FF5B6068"/>
        <rFont val="Noto Sans CJK SC"/>
        <family val="2"/>
      </rPr>
      <t xml:space="preserve">通常不可免，但可作進項扣抵</t>
    </r>
  </si>
  <si>
    <t xml:space="preserve">工期與間接費</t>
  </si>
  <si>
    <t xml:space="preserve">未計工期延長之間接費</t>
  </si>
  <si>
    <t xml:space="preserve">+2–4%</t>
  </si>
  <si>
    <r>
      <rPr>
        <sz val="9"/>
        <color rgb="FF5B6068"/>
        <rFont val="Noto Sans CJK SC"/>
        <family val="2"/>
      </rPr>
      <t xml:space="preserve">一次施工不分階段（</t>
    </r>
    <r>
      <rPr>
        <sz val="9"/>
        <color rgb="FF5B6068"/>
        <rFont val="Arial"/>
        <family val="0"/>
        <charset val="1"/>
      </rPr>
      <t xml:space="preserve">9/4 </t>
    </r>
    <r>
      <rPr>
        <sz val="9"/>
        <color rgb="FF5B6068"/>
        <rFont val="Noto Sans CJK SC"/>
        <family val="2"/>
      </rPr>
      <t xml:space="preserve">回覆）；預計 </t>
    </r>
    <r>
      <rPr>
        <sz val="9"/>
        <color rgb="FF5B6068"/>
        <rFont val="Arial"/>
        <family val="0"/>
        <charset val="1"/>
      </rPr>
      <t xml:space="preserve">14–18 </t>
    </r>
    <r>
      <rPr>
        <sz val="9"/>
        <color rgb="FF5B6068"/>
        <rFont val="Noto Sans CJK SC"/>
        <family val="2"/>
      </rPr>
      <t xml:space="preserve">個月</t>
    </r>
  </si>
  <si>
    <t xml:space="preserve">資料來源與參考</t>
  </si>
  <si>
    <r>
      <rPr>
        <sz val="10"/>
        <color rgb="FF000000"/>
        <rFont val="Arial"/>
        <family val="0"/>
        <charset val="1"/>
      </rPr>
      <t xml:space="preserve">BCP </t>
    </r>
    <r>
      <rPr>
        <sz val="10"/>
        <color rgb="FF000000"/>
        <rFont val="Noto Sans CJK SC"/>
        <family val="2"/>
      </rPr>
      <t xml:space="preserve">參考匯率 </t>
    </r>
    <r>
      <rPr>
        <sz val="10"/>
        <color rgb="FF000000"/>
        <rFont val="Arial"/>
        <family val="0"/>
        <charset val="1"/>
      </rPr>
      <t xml:space="preserve">2026‑09‑15</t>
    </r>
    <r>
      <rPr>
        <sz val="10"/>
        <color rgb="FF000000"/>
        <rFont val="Noto Sans CJK SC"/>
        <family val="2"/>
      </rPr>
      <t xml:space="preserve">：₲</t>
    </r>
    <r>
      <rPr>
        <sz val="10"/>
        <color rgb="FF000000"/>
        <rFont val="Arial"/>
        <family val="0"/>
        <charset val="1"/>
      </rPr>
      <t xml:space="preserve">5,934.88/USD</t>
    </r>
  </si>
  <si>
    <t xml:space="preserve">https://www.bcp.gov.py/webapps/web/cotizacion/referencial-fluctuante-interbancario</t>
  </si>
  <si>
    <r>
      <rPr>
        <sz val="10"/>
        <color rgb="FF000000"/>
        <rFont val="Arial"/>
        <family val="0"/>
        <charset val="1"/>
      </rPr>
      <t xml:space="preserve">costeo.com.py </t>
    </r>
    <r>
      <rPr>
        <sz val="10"/>
        <color rgb="FF000000"/>
        <rFont val="Noto Sans CJK SC"/>
        <family val="2"/>
      </rPr>
      <t xml:space="preserve">巴拉圭建材價格：水泥 ₲</t>
    </r>
    <r>
      <rPr>
        <sz val="10"/>
        <color rgb="FF000000"/>
        <rFont val="Arial"/>
        <family val="0"/>
        <charset val="1"/>
      </rPr>
      <t xml:space="preserve">59,000/</t>
    </r>
    <r>
      <rPr>
        <sz val="10"/>
        <color rgb="FF000000"/>
        <rFont val="Noto Sans CJK SC"/>
        <family val="2"/>
      </rPr>
      <t xml:space="preserve">袋、鋼筋 ₲</t>
    </r>
    <r>
      <rPr>
        <sz val="10"/>
        <color rgb="FF000000"/>
        <rFont val="Arial"/>
        <family val="0"/>
        <charset val="1"/>
      </rPr>
      <t xml:space="preserve">7,390/kg</t>
    </r>
    <r>
      <rPr>
        <sz val="10"/>
        <color rgb="FF000000"/>
        <rFont val="Noto Sans CJK SC"/>
        <family val="2"/>
      </rPr>
      <t xml:space="preserve">、泵送混凝土 </t>
    </r>
    <r>
      <rPr>
        <sz val="10"/>
        <color rgb="FF000000"/>
        <rFont val="Arial"/>
        <family val="0"/>
        <charset val="1"/>
      </rPr>
      <t xml:space="preserve">fck250 ₲900,000/m³</t>
    </r>
    <r>
      <rPr>
        <sz val="10"/>
        <color rgb="FF000000"/>
        <rFont val="Noto Sans CJK SC"/>
        <family val="2"/>
      </rPr>
      <t xml:space="preserve">、空心磚 ₲</t>
    </r>
    <r>
      <rPr>
        <sz val="10"/>
        <color rgb="FF000000"/>
        <rFont val="Arial"/>
        <family val="0"/>
        <charset val="1"/>
      </rPr>
      <t xml:space="preserve">2,288</t>
    </r>
  </si>
  <si>
    <t xml:space="preserve">https://www.costeo.com.py/precios/materiales/</t>
  </si>
  <si>
    <r>
      <rPr>
        <sz val="10"/>
        <color rgb="FF000000"/>
        <rFont val="Arial"/>
        <family val="0"/>
        <charset val="1"/>
      </rPr>
      <t xml:space="preserve">CYPE Generador de precios Paraguay — </t>
    </r>
    <r>
      <rPr>
        <sz val="10"/>
        <color rgb="FF000000"/>
        <rFont val="Noto Sans CJK SC"/>
        <family val="2"/>
      </rPr>
      <t xml:space="preserve">門式鋼架 ₲</t>
    </r>
    <r>
      <rPr>
        <sz val="10"/>
        <color rgb="FF000000"/>
        <rFont val="Arial"/>
        <family val="0"/>
        <charset val="1"/>
      </rPr>
      <t xml:space="preserve">383,251/m²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32.8 kg/m²</t>
    </r>
    <r>
      <rPr>
        <sz val="10"/>
        <color rgb="FF000000"/>
        <rFont val="Noto Sans CJK SC"/>
        <family val="2"/>
      </rPr>
      <t xml:space="preserve">）</t>
    </r>
  </si>
  <si>
    <t xml:space="preserve">https://paraguay.generadordeprecios.info/rehabilitacion/Estructuras/Acero/Montajes_industrializados/EAM010_Estructura_metalica_realizada_con_p.html</t>
  </si>
  <si>
    <r>
      <rPr>
        <sz val="10"/>
        <color rgb="FF000000"/>
        <rFont val="Arial"/>
        <family val="0"/>
        <charset val="1"/>
      </rPr>
      <t xml:space="preserve">CYPE Paraguay — RC </t>
    </r>
    <r>
      <rPr>
        <sz val="10"/>
        <color rgb="FF000000"/>
        <rFont val="Noto Sans CJK SC"/>
        <family val="2"/>
      </rPr>
      <t xml:space="preserve">柱 ₲</t>
    </r>
    <r>
      <rPr>
        <sz val="10"/>
        <color rgb="FF000000"/>
        <rFont val="Arial"/>
        <family val="0"/>
        <charset val="1"/>
      </rPr>
      <t xml:space="preserve">3,292,885/m³</t>
    </r>
    <r>
      <rPr>
        <sz val="10"/>
        <color rgb="FF000000"/>
        <rFont val="Noto Sans CJK SC"/>
        <family val="2"/>
      </rPr>
      <t xml:space="preserve">（混凝土 ₲</t>
    </r>
    <r>
      <rPr>
        <sz val="10"/>
        <color rgb="FF000000"/>
        <rFont val="Arial"/>
        <family val="0"/>
        <charset val="1"/>
      </rPr>
      <t xml:space="preserve">874,041/m³</t>
    </r>
    <r>
      <rPr>
        <sz val="10"/>
        <color rgb="FF000000"/>
        <rFont val="Noto Sans CJK SC"/>
        <family val="2"/>
      </rPr>
      <t xml:space="preserve">、鋼筋 ₲</t>
    </r>
    <r>
      <rPr>
        <sz val="10"/>
        <color rgb="FF000000"/>
        <rFont val="Arial"/>
        <family val="0"/>
        <charset val="1"/>
      </rPr>
      <t xml:space="preserve">6,249/kg</t>
    </r>
    <r>
      <rPr>
        <sz val="10"/>
        <color rgb="FF000000"/>
        <rFont val="Noto Sans CJK SC"/>
        <family val="2"/>
      </rPr>
      <t xml:space="preserve">、鋼模 ₲</t>
    </r>
    <r>
      <rPr>
        <sz val="10"/>
        <color rgb="FF000000"/>
        <rFont val="Arial"/>
        <family val="0"/>
        <charset val="1"/>
      </rPr>
      <t xml:space="preserve">296,843/m²</t>
    </r>
    <r>
      <rPr>
        <sz val="10"/>
        <color rgb="FF000000"/>
        <rFont val="Noto Sans CJK SC"/>
        <family val="2"/>
      </rPr>
      <t xml:space="preserve">）</t>
    </r>
  </si>
  <si>
    <t xml:space="preserve">https://paraguay.generadordeprecios.info/rehabilitacion/Estructuras/Hormigon_armado/Pilares/EHS010_Pilar_rectangular_o_cuadrado_de_hor.html</t>
  </si>
  <si>
    <r>
      <rPr>
        <sz val="10"/>
        <color rgb="FF000000"/>
        <rFont val="Arial"/>
        <family val="0"/>
        <charset val="1"/>
      </rPr>
      <t xml:space="preserve">CYPE Paraguay — </t>
    </r>
    <r>
      <rPr>
        <sz val="10"/>
        <color rgb="FF000000"/>
        <rFont val="Noto Sans CJK SC"/>
        <family val="2"/>
      </rPr>
      <t xml:space="preserve">實心樓板 </t>
    </r>
    <r>
      <rPr>
        <sz val="10"/>
        <color rgb="FF000000"/>
        <rFont val="Arial"/>
        <family val="0"/>
        <charset val="1"/>
      </rPr>
      <t xml:space="preserve">24 cm ₲583,257/m²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 kg/m²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）</t>
    </r>
  </si>
  <si>
    <t xml:space="preserve">https://paraguay.generadordeprecios.info/rehabilitacion/Estructuras/Hormigon_armado/Losas_macizas/Losa_maciza.html</t>
  </si>
  <si>
    <r>
      <rPr>
        <sz val="10"/>
        <color rgb="FF000000"/>
        <rFont val="Arial"/>
        <family val="0"/>
        <charset val="1"/>
      </rPr>
      <t xml:space="preserve">CYPE Paraguay — RC </t>
    </r>
    <r>
      <rPr>
        <sz val="10"/>
        <color rgb="FF000000"/>
        <rFont val="Noto Sans CJK SC"/>
        <family val="2"/>
      </rPr>
      <t xml:space="preserve">基礎 ₲</t>
    </r>
    <r>
      <rPr>
        <sz val="10"/>
        <color rgb="FF000000"/>
        <rFont val="Arial"/>
        <family val="0"/>
        <charset val="1"/>
      </rPr>
      <t xml:space="preserve">1,377,041/m³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 kg/m³</t>
    </r>
    <r>
      <rPr>
        <sz val="10"/>
        <color rgb="FF000000"/>
        <rFont val="Noto Sans CJK SC"/>
        <family val="2"/>
      </rPr>
      <t xml:space="preserve">）</t>
    </r>
  </si>
  <si>
    <t xml:space="preserve">https://paraguay.generadordeprecios.info/rehabilitacion/Fundaciones/Superficiales/Zapatas/Zapata_de_fundacion_de_hormigon_armado.html</t>
  </si>
  <si>
    <r>
      <rPr>
        <sz val="10"/>
        <color rgb="FF000000"/>
        <rFont val="Arial"/>
        <family val="0"/>
        <charset val="1"/>
      </rPr>
      <t xml:space="preserve">CYPE Paraguay — </t>
    </r>
    <r>
      <rPr>
        <sz val="10"/>
        <color rgb="FF000000"/>
        <rFont val="Noto Sans CJK SC"/>
        <family val="2"/>
      </rPr>
      <t xml:space="preserve">三明治板屋面 </t>
    </r>
    <r>
      <rPr>
        <sz val="10"/>
        <color rgb="FF000000"/>
        <rFont val="Arial"/>
        <family val="0"/>
        <charset val="1"/>
      </rPr>
      <t xml:space="preserve">100 mm ₲439,960/m²</t>
    </r>
  </si>
  <si>
    <t xml:space="preserve">https://paraguay.generadordeprecios.info/obra_nueva/Cubiertas/QU_Componentes_de_cubiertas_incli/QUM_De_chapas_de_acero_y_paneles_s/QUM020_Cobertura_de_paneles_sandwich_aisla.html</t>
  </si>
  <si>
    <r>
      <rPr>
        <sz val="10"/>
        <color rgb="FF000000"/>
        <rFont val="Arial"/>
        <family val="0"/>
        <charset val="1"/>
      </rPr>
      <t xml:space="preserve">CYPE Paraguay — </t>
    </r>
    <r>
      <rPr>
        <sz val="10"/>
        <color rgb="FF000000"/>
        <rFont val="Noto Sans CJK SC"/>
        <family val="2"/>
      </rPr>
      <t xml:space="preserve">磚隔間 </t>
    </r>
    <r>
      <rPr>
        <sz val="10"/>
        <color rgb="FF000000"/>
        <rFont val="Arial"/>
        <family val="0"/>
        <charset val="1"/>
      </rPr>
      <t xml:space="preserve">7 cm ₲106,527/m²</t>
    </r>
  </si>
  <si>
    <t xml:space="preserve">https://paraguay.generadordeprecios.info/rehabilitacion/Fachadas_y_particiones/FF_Mamposteria_no_estructural_de_/Hoja_para_revestir_en_particion/FFQ010_Hoja_de_particion_interior__de_mamp.html</t>
  </si>
  <si>
    <r>
      <rPr>
        <sz val="10"/>
        <color rgb="FF000000"/>
        <rFont val="Arial"/>
        <family val="0"/>
        <charset val="1"/>
      </rPr>
      <t xml:space="preserve">CYPE Paraguay — </t>
    </r>
    <r>
      <rPr>
        <sz val="10"/>
        <color rgb="FF000000"/>
        <rFont val="Noto Sans CJK SC"/>
        <family val="2"/>
      </rPr>
      <t xml:space="preserve">工業地坪 </t>
    </r>
    <r>
      <rPr>
        <sz val="10"/>
        <color rgb="FF000000"/>
        <rFont val="Arial"/>
        <family val="0"/>
        <charset val="1"/>
      </rPr>
      <t xml:space="preserve">20 cm ₲335,751/m²</t>
    </r>
  </si>
  <si>
    <t xml:space="preserve">https://paraguay.generadordeprecios.info/rehabilitacion/Revestimientos_y_trasdosados/Pisos/RSI_Sistemas_de_pisos_industriales/RSI007_Piso_industrial_de_hormigon_tratado.html</t>
  </si>
  <si>
    <r>
      <rPr>
        <sz val="10"/>
        <color rgb="FF000000"/>
        <rFont val="Arial"/>
        <family val="0"/>
        <charset val="1"/>
      </rPr>
      <t xml:space="preserve">CYPE Paraguay — RC </t>
    </r>
    <r>
      <rPr>
        <sz val="10"/>
        <color rgb="FF000000"/>
        <rFont val="Noto Sans CJK SC"/>
        <family val="2"/>
      </rPr>
      <t xml:space="preserve">擋土牆 ₲</t>
    </r>
    <r>
      <rPr>
        <sz val="10"/>
        <color rgb="FF000000"/>
        <rFont val="Arial"/>
        <family val="0"/>
        <charset val="1"/>
      </rPr>
      <t xml:space="preserve">1,217,589/m³</t>
    </r>
  </si>
  <si>
    <t xml:space="preserve">https://paraguay.generadordeprecios.info/rehabilitacion/Urbanizacion_interior_de_la_parcela/Muros_de_contencion/Muros_de_contencion/Muro_de_contencion_de_hormigon_armado.html</t>
  </si>
  <si>
    <r>
      <rPr>
        <sz val="10"/>
        <color rgb="FF000000"/>
        <rFont val="Arial"/>
        <family val="0"/>
        <charset val="1"/>
      </rPr>
      <t xml:space="preserve">Mega Construcciones — </t>
    </r>
    <r>
      <rPr>
        <sz val="10"/>
        <color rgb="FF000000"/>
        <rFont val="Noto Sans CJK SC"/>
        <family val="2"/>
      </rPr>
      <t xml:space="preserve">巴拉圭樓板行情 ₲</t>
    </r>
    <r>
      <rPr>
        <sz val="10"/>
        <color rgb="FF000000"/>
        <rFont val="Arial"/>
        <family val="0"/>
        <charset val="1"/>
      </rPr>
      <t xml:space="preserve">650,000–2,000,000/m²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2026‑05</t>
    </r>
    <r>
      <rPr>
        <sz val="10"/>
        <color rgb="FF000000"/>
        <rFont val="Noto Sans CJK SC"/>
        <family val="2"/>
      </rPr>
      <t xml:space="preserve">）</t>
    </r>
  </si>
  <si>
    <t xml:space="preserve">https://mega-construcciones.com/precio-de-losa-por-m2-en-paraguay/</t>
  </si>
  <si>
    <r>
      <rPr>
        <sz val="10"/>
        <color rgb="FF000000"/>
        <rFont val="Arial"/>
        <family val="0"/>
        <charset val="1"/>
      </rPr>
      <t xml:space="preserve">MTESS / ABC Color — 2026‑07 </t>
    </r>
    <r>
      <rPr>
        <sz val="10"/>
        <color rgb="FF000000"/>
        <rFont val="Noto Sans CJK SC"/>
        <family val="2"/>
      </rPr>
      <t xml:space="preserve">最低工資 ₲</t>
    </r>
    <r>
      <rPr>
        <sz val="10"/>
        <color rgb="FF000000"/>
        <rFont val="Arial"/>
        <family val="0"/>
        <charset val="1"/>
      </rPr>
      <t xml:space="preserve">3,044,000/</t>
    </r>
    <r>
      <rPr>
        <sz val="10"/>
        <color rgb="FF000000"/>
        <rFont val="Noto Sans CJK SC"/>
        <family val="2"/>
      </rPr>
      <t xml:space="preserve">月；營建一級技工 ₲</t>
    </r>
    <r>
      <rPr>
        <sz val="10"/>
        <color rgb="FF000000"/>
        <rFont val="Arial"/>
        <family val="0"/>
        <charset val="1"/>
      </rPr>
      <t xml:space="preserve">3,560,108/</t>
    </r>
    <r>
      <rPr>
        <sz val="10"/>
        <color rgb="FF000000"/>
        <rFont val="Noto Sans CJK SC"/>
        <family val="2"/>
      </rPr>
      <t xml:space="preserve">月</t>
    </r>
  </si>
  <si>
    <t xml:space="preserve">https://www.abc.com.py/economia/2026/07/08/reajuste-salarial-guia-completa-de-los-nuevos-montos-por-cada-sector-laboral/</t>
  </si>
  <si>
    <r>
      <rPr>
        <sz val="10"/>
        <color rgb="FF000000"/>
        <rFont val="Arial"/>
        <family val="0"/>
        <charset val="1"/>
      </rPr>
      <t xml:space="preserve">Última Hora 2025‑05 — CAPACO </t>
    </r>
    <r>
      <rPr>
        <sz val="10"/>
        <color rgb="FF000000"/>
        <rFont val="Noto Sans CJK SC"/>
        <family val="2"/>
      </rPr>
      <t xml:space="preserve">建材漲幅：磚 </t>
    </r>
    <r>
      <rPr>
        <sz val="10"/>
        <color rgb="FF000000"/>
        <rFont val="Arial"/>
        <family val="0"/>
        <charset val="1"/>
      </rPr>
      <t xml:space="preserve">+8.2%</t>
    </r>
    <r>
      <rPr>
        <sz val="10"/>
        <color rgb="FF000000"/>
        <rFont val="Noto Sans CJK SC"/>
        <family val="2"/>
      </rPr>
      <t xml:space="preserve">、水泥 </t>
    </r>
    <r>
      <rPr>
        <sz val="10"/>
        <color rgb="FF000000"/>
        <rFont val="Arial"/>
        <family val="0"/>
        <charset val="1"/>
      </rPr>
      <t xml:space="preserve">+6.3%</t>
    </r>
    <r>
      <rPr>
        <sz val="10"/>
        <color rgb="FF000000"/>
        <rFont val="Noto Sans CJK SC"/>
        <family val="2"/>
      </rPr>
      <t xml:space="preserve">、泥作 </t>
    </r>
    <r>
      <rPr>
        <sz val="10"/>
        <color rgb="FF000000"/>
        <rFont val="Arial"/>
        <family val="0"/>
        <charset val="1"/>
      </rPr>
      <t xml:space="preserve">+3.4%</t>
    </r>
  </si>
  <si>
    <t xml:space="preserve">https://www.ultimahora.com/materiales-de-construccion-suben-por-mayor-demanda</t>
  </si>
  <si>
    <r>
      <rPr>
        <sz val="10"/>
        <color rgb="FF000000"/>
        <rFont val="Arial"/>
        <family val="0"/>
        <charset val="1"/>
      </rPr>
      <t xml:space="preserve">Move to Paraguay 2026 — </t>
    </r>
    <r>
      <rPr>
        <sz val="10"/>
        <color rgb="FF000000"/>
        <rFont val="Noto Sans CJK SC"/>
        <family val="2"/>
      </rPr>
      <t xml:space="preserve">一般建築 </t>
    </r>
    <r>
      <rPr>
        <sz val="10"/>
        <color rgb="FF000000"/>
        <rFont val="Arial"/>
        <family val="0"/>
        <charset val="1"/>
      </rPr>
      <t xml:space="preserve">USD 550–750/m²</t>
    </r>
    <r>
      <rPr>
        <sz val="10"/>
        <color rgb="FF000000"/>
        <rFont val="Noto Sans CJK SC"/>
        <family val="2"/>
      </rPr>
      <t xml:space="preserve">（標準）、</t>
    </r>
    <r>
      <rPr>
        <sz val="10"/>
        <color rgb="FF000000"/>
        <rFont val="Arial"/>
        <family val="0"/>
        <charset val="1"/>
      </rPr>
      <t xml:space="preserve">900+/m²</t>
    </r>
    <r>
      <rPr>
        <sz val="10"/>
        <color rgb="FF000000"/>
        <rFont val="Noto Sans CJK SC"/>
        <family val="2"/>
      </rPr>
      <t xml:space="preserve">（高級）</t>
    </r>
  </si>
  <si>
    <t xml:space="preserve">https://www.movetoparaguay.com/es/blog/build-your-dream-house-in-paraguay</t>
  </si>
  <si>
    <r>
      <rPr>
        <sz val="10"/>
        <color rgb="FF000000"/>
        <rFont val="Arial"/>
        <family val="0"/>
        <charset val="1"/>
      </rPr>
      <t xml:space="preserve">ABC Color 2026‑07 — Alto Paraná </t>
    </r>
    <r>
      <rPr>
        <sz val="10"/>
        <color rgb="FF000000"/>
        <rFont val="Noto Sans CJK SC"/>
        <family val="2"/>
      </rPr>
      <t xml:space="preserve">營建成本以瓜拉尼計價且持續上漲</t>
    </r>
  </si>
  <si>
    <t xml:space="preserve">https://www.abc.com.py/negocios/2026/07/02/alto-parana-construye-mas-rapido-de-lo-que-la-banca-puede-financiar/</t>
  </si>
  <si>
    <r>
      <rPr>
        <sz val="10"/>
        <color rgb="FF000000"/>
        <rFont val="Arial"/>
        <family val="0"/>
        <charset val="1"/>
      </rPr>
      <t xml:space="preserve">ACELON </t>
    </r>
    <r>
      <rPr>
        <sz val="10"/>
        <color rgb="FF000000"/>
        <rFont val="Noto Sans CJK SC"/>
        <family val="2"/>
      </rPr>
      <t xml:space="preserve">巴拉圭投資金額概算（廠房）</t>
    </r>
    <r>
      <rPr>
        <sz val="10"/>
        <color rgb="FF000000"/>
        <rFont val="Arial"/>
        <family val="0"/>
        <charset val="1"/>
      </rPr>
      <t xml:space="preserve">WhatsApp 2026‑09‑10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Salum &amp; Wenz IFC 2026‑07‑31</t>
    </r>
    <r>
      <rPr>
        <sz val="10"/>
        <color rgb="FF000000"/>
        <rFont val="Noto Sans CJK SC"/>
        <family val="2"/>
      </rPr>
      <t xml:space="preserve">；台灣方 </t>
    </r>
    <r>
      <rPr>
        <sz val="10"/>
        <color rgb="FF000000"/>
        <rFont val="Arial"/>
        <family val="0"/>
        <charset val="1"/>
      </rPr>
      <t xml:space="preserve">9/4 </t>
    </r>
    <r>
      <rPr>
        <sz val="10"/>
        <color rgb="FF000000"/>
        <rFont val="Noto Sans CJK SC"/>
        <family val="2"/>
      </rPr>
      <t xml:space="preserve">回覆；</t>
    </r>
    <r>
      <rPr>
        <sz val="10"/>
        <color rgb="FF000000"/>
        <rFont val="Arial"/>
        <family val="0"/>
        <charset val="1"/>
      </rPr>
      <t xml:space="preserve">P0A30011–P0A30170 </t>
    </r>
    <r>
      <rPr>
        <sz val="10"/>
        <color rgb="FF000000"/>
        <rFont val="Noto Sans CJK SC"/>
        <family val="2"/>
      </rPr>
      <t xml:space="preserve">圖說</t>
    </r>
  </si>
  <si>
    <r>
      <rPr>
        <sz val="9"/>
        <color rgb="FF1D7F9C"/>
        <rFont val="Noto Sans CJK SC"/>
        <family val="2"/>
      </rPr>
      <t xml:space="preserve">資料夾 </t>
    </r>
    <r>
      <rPr>
        <sz val="9"/>
        <color rgb="FF1D7F9C"/>
        <rFont val="Arial"/>
        <family val="0"/>
        <charset val="1"/>
      </rPr>
      <t xml:space="preserve">acelon new factory py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</si>
</sst>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#,##0;\(#,##0\);\-"/>
    <numFmt numFmtId="167" formatCode="0.0%"/>
    <numFmt numFmtId="168" formatCode="#,##0.00;\(#,##0.00\);\-"/>
    <numFmt numFmtId="169" formatCode="\$#,##0.00;&quot;($&quot;#,##0.00\);\-"/>
    <numFmt numFmtId="170" formatCode="#,##0.0;\(#,##0.0\);\-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4"/>
      <color rgb="FF000000"/>
      <name val="Noto Sans CJK SC"/>
      <family val="2"/>
    </font>
    <font>
      <i val="true"/>
      <sz val="10"/>
      <color rgb="FF5B6068"/>
      <name val="Noto Sans CJK SC"/>
      <family val="2"/>
    </font>
    <font>
      <i val="true"/>
      <sz val="10"/>
      <color rgb="FF5B6068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B6068"/>
      <name val="Noto Sans CJK SC"/>
      <family val="2"/>
    </font>
    <font>
      <sz val="9"/>
      <color rgb="FF5B6068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1"/>
      <color rgb="FF000000"/>
      <name val="Noto Sans CJK SC"/>
      <family val="2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Noto Sans CJK SC"/>
      <family val="2"/>
    </font>
    <font>
      <b val="true"/>
      <sz val="12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B6068"/>
      <name val="Noto Sans CJK SC"/>
      <family val="2"/>
    </font>
    <font>
      <i val="true"/>
      <sz val="9"/>
      <color rgb="FF5B6068"/>
      <name val="Arial"/>
      <family val="0"/>
      <charset val="1"/>
    </font>
    <font>
      <i val="true"/>
      <sz val="9"/>
      <color rgb="FF000000"/>
      <name val="Noto Sans CJK SC"/>
      <family val="2"/>
    </font>
    <font>
      <sz val="9"/>
      <color rgb="FF1D7F9C"/>
      <name val="Arial"/>
      <family val="0"/>
      <charset val="1"/>
    </font>
    <font>
      <sz val="9"/>
      <color rgb="FF1D7F9C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C232B"/>
        <bgColor rgb="FF333300"/>
      </patternFill>
    </fill>
    <fill>
      <patternFill patternType="solid">
        <fgColor rgb="FFD6D2C8"/>
        <bgColor rgb="FFECE9E1"/>
      </patternFill>
    </fill>
    <fill>
      <patternFill patternType="solid">
        <fgColor rgb="FFFFFF00"/>
        <bgColor rgb="FFFFFF00"/>
      </patternFill>
    </fill>
    <fill>
      <patternFill patternType="solid">
        <fgColor rgb="FFECE9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B3AA"/>
      </left>
      <right style="thin">
        <color rgb="FFB8B3AA"/>
      </right>
      <top style="thin">
        <color rgb="FFB8B3AA"/>
      </top>
      <bottom style="thin">
        <color rgb="FFB8B3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7F9C"/>
      <rgbColor rgb="FFB8B3AA"/>
      <rgbColor rgb="FF808080"/>
      <rgbColor rgb="FF9999FF"/>
      <rgbColor rgb="FF993366"/>
      <rgbColor rgb="FFECE9E1"/>
      <rgbColor rgb="FFCCFFFF"/>
      <rgbColor rgb="FF660066"/>
      <rgbColor rgb="FFFF8080"/>
      <rgbColor rgb="FF0066CC"/>
      <rgbColor rgb="FFD6D2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06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3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bcp.gov.py/webapps/web/cotizacion/referencial-fluctuante-interbancario" TargetMode="External"/><Relationship Id="rId2" Type="http://schemas.openxmlformats.org/officeDocument/2006/relationships/hyperlink" Target="https://www.costeo.com.py/precios/materiales/" TargetMode="External"/><Relationship Id="rId3" Type="http://schemas.openxmlformats.org/officeDocument/2006/relationships/hyperlink" Target="https://paraguay.generadordeprecios.info/rehabilitacion/Estructuras/Acero/Montajes_industrializados/EAM010_Estructura_metalica_realizada_con_p.html" TargetMode="External"/><Relationship Id="rId4" Type="http://schemas.openxmlformats.org/officeDocument/2006/relationships/hyperlink" Target="https://paraguay.generadordeprecios.info/rehabilitacion/Estructuras/Hormigon_armado/Pilares/EHS010_Pilar_rectangular_o_cuadrado_de_hor.html" TargetMode="External"/><Relationship Id="rId5" Type="http://schemas.openxmlformats.org/officeDocument/2006/relationships/hyperlink" Target="https://paraguay.generadordeprecios.info/rehabilitacion/Estructuras/Hormigon_armado/Losas_macizas/Losa_maciza.html" TargetMode="External"/><Relationship Id="rId6" Type="http://schemas.openxmlformats.org/officeDocument/2006/relationships/hyperlink" Target="https://paraguay.generadordeprecios.info/rehabilitacion/Fundaciones/Superficiales/Zapatas/Zapata_de_fundacion_de_hormigon_armado.html" TargetMode="External"/><Relationship Id="rId7" Type="http://schemas.openxmlformats.org/officeDocument/2006/relationships/hyperlink" Target="https://paraguay.generadordeprecios.info/obra_nueva/Cubiertas/QU_Componentes_de_cubiertas_incli/QUM_De_chapas_de_acero_y_paneles_s/QUM020_Cobertura_de_paneles_sandwich_aisla.html" TargetMode="External"/><Relationship Id="rId8" Type="http://schemas.openxmlformats.org/officeDocument/2006/relationships/hyperlink" Target="https://paraguay.generadordeprecios.info/rehabilitacion/Fachadas_y_particiones/FF_Mamposteria_no_estructural_de_/Hoja_para_revestir_en_particion/FFQ010_Hoja_de_particion_interior__de_mamp.html" TargetMode="External"/><Relationship Id="rId9" Type="http://schemas.openxmlformats.org/officeDocument/2006/relationships/hyperlink" Target="https://paraguay.generadordeprecios.info/rehabilitacion/Revestimientos_y_trasdosados/Pisos/RSI_Sistemas_de_pisos_industriales/RSI007_Piso_industrial_de_hormigon_tratado.html" TargetMode="External"/><Relationship Id="rId10" Type="http://schemas.openxmlformats.org/officeDocument/2006/relationships/hyperlink" Target="https://paraguay.generadordeprecios.info/rehabilitacion/Urbanizacion_interior_de_la_parcela/Muros_de_contencion/Muros_de_contencion/Muro_de_contencion_de_hormigon_armado.html" TargetMode="External"/><Relationship Id="rId11" Type="http://schemas.openxmlformats.org/officeDocument/2006/relationships/hyperlink" Target="https://mega-construcciones.com/precio-de-losa-por-m2-en-paraguay/" TargetMode="External"/><Relationship Id="rId12" Type="http://schemas.openxmlformats.org/officeDocument/2006/relationships/hyperlink" Target="https://www.abc.com.py/economia/2026/07/08/reajuste-salarial-guia-completa-de-los-nuevos-montos-por-cada-sector-laboral/" TargetMode="External"/><Relationship Id="rId13" Type="http://schemas.openxmlformats.org/officeDocument/2006/relationships/hyperlink" Target="https://www.ultimahora.com/materiales-de-construccion-suben-por-mayor-demanda" TargetMode="External"/><Relationship Id="rId14" Type="http://schemas.openxmlformats.org/officeDocument/2006/relationships/hyperlink" Target="https://www.movetoparaguay.com/es/blog/build-your-dream-house-in-paraguay" TargetMode="External"/><Relationship Id="rId15" Type="http://schemas.openxmlformats.org/officeDocument/2006/relationships/hyperlink" Target="https://www.abc.com.py/negocios/2026/07/02/alto-parana-construye-mas-rapido-de-lo-que-la-banca-puede-financia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5" t="s">
        <v>8</v>
      </c>
      <c r="B5" s="6" t="s">
        <v>9</v>
      </c>
      <c r="C5" s="7" t="n">
        <f aca="false">原絲廠房!$F$67</f>
        <v>4262063.48188908</v>
      </c>
      <c r="D5" s="8" t="n">
        <f aca="false">C5/9040</f>
        <v>471.467199324013</v>
      </c>
      <c r="E5" s="9" t="n">
        <f aca="false">C5*假設與單價!$C$5/1000000</f>
        <v>25294.8353173938</v>
      </c>
      <c r="F5" s="10" t="s">
        <v>10</v>
      </c>
    </row>
    <row r="6" customFormat="false" ht="15" hidden="false" customHeight="false" outlineLevel="0" collapsed="false">
      <c r="A6" s="5" t="s">
        <v>11</v>
      </c>
      <c r="B6" s="6" t="s">
        <v>12</v>
      </c>
      <c r="C6" s="7" t="n">
        <f aca="false">假撚廠房!$F$52</f>
        <v>2573356.288652</v>
      </c>
      <c r="D6" s="8" t="n">
        <f aca="false">C6/4700</f>
        <v>547.522614606808</v>
      </c>
      <c r="E6" s="9" t="n">
        <f aca="false">C6*假設與單價!$C$5/1000000</f>
        <v>15272.560770395</v>
      </c>
      <c r="F6" s="10" t="s">
        <v>13</v>
      </c>
    </row>
    <row r="7" customFormat="false" ht="15" hidden="false" customHeight="false" outlineLevel="0" collapsed="false">
      <c r="A7" s="5" t="s">
        <v>14</v>
      </c>
      <c r="B7" s="6" t="s">
        <v>15</v>
      </c>
      <c r="C7" s="7" t="n">
        <f aca="false">公用廠房!$F$41</f>
        <v>1857432.01175487</v>
      </c>
      <c r="D7" s="8" t="n">
        <f aca="false">C7/1600</f>
        <v>1160.89500734679</v>
      </c>
      <c r="E7" s="9" t="n">
        <f aca="false">C7*假設與單價!$C$5/1000000</f>
        <v>11023.6360979238</v>
      </c>
      <c r="F7" s="10" t="s">
        <v>16</v>
      </c>
    </row>
    <row r="8" customFormat="false" ht="15" hidden="false" customHeight="false" outlineLevel="0" collapsed="false">
      <c r="A8" s="5" t="s">
        <v>17</v>
      </c>
      <c r="B8" s="6" t="s">
        <v>18</v>
      </c>
      <c r="C8" s="7" t="n">
        <f aca="false">基地工程!$F$29</f>
        <v>860216.4</v>
      </c>
      <c r="E8" s="9" t="n">
        <f aca="false">C8*假設與單價!$C$5/1000000</f>
        <v>5105.281108032</v>
      </c>
      <c r="F8" s="10" t="s">
        <v>19</v>
      </c>
    </row>
    <row r="9" customFormat="false" ht="15" hidden="false" customHeight="false" outlineLevel="0" collapsed="false">
      <c r="A9" s="11"/>
      <c r="B9" s="12" t="s">
        <v>20</v>
      </c>
      <c r="C9" s="13" t="n">
        <f aca="false">SUM(C5:C8)</f>
        <v>9553068.18229595</v>
      </c>
      <c r="D9" s="13" t="n">
        <f aca="false">C9/(9040+4700+1600)</f>
        <v>622.755422574703</v>
      </c>
      <c r="E9" s="14" t="n">
        <f aca="false">C9*假設與單價!$C$5/1000000</f>
        <v>56696.3132937446</v>
      </c>
      <c r="F9" s="15" t="s">
        <v>21</v>
      </c>
    </row>
    <row r="11" customFormat="false" ht="15" hidden="false" customHeight="false" outlineLevel="0" collapsed="false">
      <c r="A11" s="5" t="s">
        <v>22</v>
      </c>
      <c r="B11" s="6" t="s">
        <v>23</v>
      </c>
      <c r="C11" s="8" t="n">
        <f aca="false">C9*假設與單價!$C$42</f>
        <v>1337429.54552143</v>
      </c>
      <c r="E11" s="9" t="n">
        <f aca="false">C11*假設與單價!$C$5/1000000</f>
        <v>7937.48386112424</v>
      </c>
      <c r="F11" s="16" t="s">
        <v>24</v>
      </c>
    </row>
    <row r="12" customFormat="false" ht="15" hidden="false" customHeight="false" outlineLevel="0" collapsed="false">
      <c r="A12" s="5" t="s">
        <v>25</v>
      </c>
      <c r="B12" s="6" t="s">
        <v>26</v>
      </c>
      <c r="C12" s="8" t="n">
        <f aca="false">假設與單價!$C$47</f>
        <v>18000</v>
      </c>
      <c r="E12" s="9" t="n">
        <f aca="false">C12*假設與單價!$C$5/1000000</f>
        <v>106.82784</v>
      </c>
      <c r="F12" s="16" t="s">
        <v>27</v>
      </c>
    </row>
    <row r="13" customFormat="false" ht="15" hidden="false" customHeight="false" outlineLevel="0" collapsed="false">
      <c r="A13" s="5" t="s">
        <v>28</v>
      </c>
      <c r="B13" s="6" t="s">
        <v>29</v>
      </c>
      <c r="C13" s="8" t="n">
        <f aca="false">C9*假設與單價!$C$43</f>
        <v>429888.068203317</v>
      </c>
      <c r="E13" s="9" t="n">
        <f aca="false">C13*假設與單價!$C$5/1000000</f>
        <v>2551.33409821851</v>
      </c>
      <c r="F13" s="16" t="s">
        <v>30</v>
      </c>
    </row>
    <row r="14" customFormat="false" ht="15" hidden="false" customHeight="false" outlineLevel="0" collapsed="false">
      <c r="A14" s="5" t="s">
        <v>31</v>
      </c>
      <c r="B14" s="6" t="s">
        <v>32</v>
      </c>
      <c r="C14" s="8" t="n">
        <f aca="false">C9*假設與單價!$C$44</f>
        <v>286592.045468878</v>
      </c>
      <c r="E14" s="9" t="n">
        <f aca="false">C14*假設與單價!$C$5/1000000</f>
        <v>1700.88939881234</v>
      </c>
      <c r="F14" s="16" t="s">
        <v>33</v>
      </c>
    </row>
    <row r="15" customFormat="false" ht="15" hidden="false" customHeight="false" outlineLevel="0" collapsed="false">
      <c r="A15" s="5" t="s">
        <v>34</v>
      </c>
      <c r="B15" s="6" t="s">
        <v>35</v>
      </c>
      <c r="C15" s="8" t="n">
        <f aca="false">C9*假設與單價!$C$45</f>
        <v>114636.818187551</v>
      </c>
      <c r="E15" s="9" t="n">
        <f aca="false">C15*假設與單價!$C$5/1000000</f>
        <v>680.355759524935</v>
      </c>
      <c r="F15" s="16" t="s">
        <v>36</v>
      </c>
    </row>
    <row r="16" customFormat="false" ht="15" hidden="false" customHeight="false" outlineLevel="0" collapsed="false">
      <c r="A16" s="5" t="s">
        <v>37</v>
      </c>
      <c r="B16" s="6" t="s">
        <v>38</v>
      </c>
      <c r="C16" s="8" t="n">
        <f aca="false">C9*假設與單價!$C$46</f>
        <v>76424.5454583676</v>
      </c>
      <c r="E16" s="9" t="n">
        <f aca="false">C16*假設與單價!$C$5/1000000</f>
        <v>453.570506349957</v>
      </c>
      <c r="F16" s="16" t="s">
        <v>39</v>
      </c>
    </row>
    <row r="17" customFormat="false" ht="15" hidden="false" customHeight="false" outlineLevel="0" collapsed="false">
      <c r="A17" s="11"/>
      <c r="B17" s="12" t="s">
        <v>40</v>
      </c>
      <c r="C17" s="13" t="n">
        <f aca="false">C9+SUM(C11:C16)</f>
        <v>11816039.2051355</v>
      </c>
      <c r="D17" s="11"/>
      <c r="E17" s="14" t="n">
        <f aca="false">C17*假設與單價!$C$5/1000000</f>
        <v>70126.7747577745</v>
      </c>
      <c r="F17" s="11"/>
    </row>
    <row r="18" customFormat="false" ht="15" hidden="false" customHeight="false" outlineLevel="0" collapsed="false">
      <c r="A18" s="5" t="s">
        <v>41</v>
      </c>
      <c r="B18" s="6" t="s">
        <v>42</v>
      </c>
      <c r="C18" s="8" t="n">
        <f aca="false">C17*假設與單價!$C$48</f>
        <v>1181603.92051355</v>
      </c>
      <c r="E18" s="9" t="n">
        <f aca="false">C18*假設與單價!$C$5/1000000</f>
        <v>7012.67747577745</v>
      </c>
      <c r="F18" s="16" t="s">
        <v>43</v>
      </c>
    </row>
    <row r="19" customFormat="false" ht="15" hidden="false" customHeight="false" outlineLevel="0" collapsed="false">
      <c r="A19" s="17"/>
      <c r="B19" s="18" t="s">
        <v>44</v>
      </c>
      <c r="C19" s="19" t="n">
        <f aca="false">C17+C18</f>
        <v>12997643.125649</v>
      </c>
      <c r="D19" s="20" t="n">
        <f aca="false">C19/(9040+4700+1600)</f>
        <v>847.303984722884</v>
      </c>
      <c r="E19" s="21" t="n">
        <f aca="false">C19*假設與單價!$C$5/1000000</f>
        <v>77139.452233552</v>
      </c>
      <c r="F19" s="17"/>
    </row>
    <row r="20" customFormat="false" ht="15" hidden="false" customHeight="false" outlineLevel="0" collapsed="false">
      <c r="A20" s="5" t="s">
        <v>45</v>
      </c>
      <c r="B20" s="22" t="s">
        <v>46</v>
      </c>
      <c r="C20" s="8" t="n">
        <f aca="false">C19*假設與單價!$C$49</f>
        <v>1299764.3125649</v>
      </c>
      <c r="E20" s="9" t="n">
        <f aca="false">C20*假設與單價!$C$5/1000000</f>
        <v>7713.9452233552</v>
      </c>
    </row>
    <row r="21" customFormat="false" ht="19.4" hidden="false" customHeight="false" outlineLevel="0" collapsed="false">
      <c r="A21" s="17"/>
      <c r="B21" s="23" t="s">
        <v>47</v>
      </c>
      <c r="C21" s="24" t="n">
        <f aca="false">C19+C20</f>
        <v>14297407.4382139</v>
      </c>
      <c r="D21" s="20" t="n">
        <f aca="false">C21/(9040+4700+1600)</f>
        <v>932.034383195172</v>
      </c>
      <c r="E21" s="25" t="n">
        <f aca="false">C21*假設與單價!$C$5/1000000</f>
        <v>84853.3974569072</v>
      </c>
      <c r="F21" s="17"/>
    </row>
    <row r="23" customFormat="false" ht="15" hidden="false" customHeight="false" outlineLevel="0" collapsed="false">
      <c r="B23" s="26" t="s">
        <v>48</v>
      </c>
      <c r="C23" s="8" t="n">
        <f aca="false">C19*0.85</f>
        <v>11047996.6568017</v>
      </c>
      <c r="D23" s="6" t="s">
        <v>49</v>
      </c>
      <c r="E23" s="8" t="n">
        <f aca="false">C19*1.25</f>
        <v>16247053.9070613</v>
      </c>
      <c r="F23" s="6" t="s">
        <v>50</v>
      </c>
    </row>
    <row r="25" customFormat="false" ht="17.15" hidden="false" customHeight="false" outlineLevel="0" collapsed="false">
      <c r="B25" s="27" t="s">
        <v>51</v>
      </c>
    </row>
    <row r="26" customFormat="false" ht="30" hidden="false" customHeight="true" outlineLevel="0" collapsed="false">
      <c r="A26" s="3"/>
      <c r="B26" s="3" t="s">
        <v>3</v>
      </c>
      <c r="C26" s="4" t="s">
        <v>52</v>
      </c>
      <c r="D26" s="4" t="s">
        <v>53</v>
      </c>
      <c r="E26" s="3" t="s">
        <v>54</v>
      </c>
      <c r="F26" s="3" t="s">
        <v>55</v>
      </c>
    </row>
    <row r="27" customFormat="false" ht="15" hidden="false" customHeight="false" outlineLevel="0" collapsed="false">
      <c r="B27" s="6" t="s">
        <v>56</v>
      </c>
      <c r="C27" s="28" t="n">
        <v>318095600</v>
      </c>
      <c r="D27" s="8" t="n">
        <f aca="false">C27/假設與單價!$C$6</f>
        <v>9940487.5</v>
      </c>
      <c r="E27" s="8" t="n">
        <f aca="false">原絲廠房!$F$67*(1+假設與單價!$C$42)+假設與單價!$C$37</f>
        <v>4920752.36935355</v>
      </c>
      <c r="F27" s="29" t="n">
        <f aca="false">E27/D27-1</f>
        <v>-0.504978767957452</v>
      </c>
    </row>
    <row r="28" customFormat="false" ht="15" hidden="false" customHeight="false" outlineLevel="0" collapsed="false">
      <c r="B28" s="6" t="s">
        <v>57</v>
      </c>
      <c r="C28" s="28" t="n">
        <v>85601000</v>
      </c>
      <c r="D28" s="8" t="n">
        <f aca="false">C28/假設與單價!$C$6</f>
        <v>2675031.25</v>
      </c>
      <c r="E28" s="8" t="n">
        <f aca="false">假撚廠房!$F$52*(1+假設與單價!$C$42)</f>
        <v>2933626.16906328</v>
      </c>
      <c r="F28" s="29" t="n">
        <f aca="false">E28/D28-1</f>
        <v>0.0966698684597707</v>
      </c>
    </row>
    <row r="29" customFormat="false" ht="15" hidden="false" customHeight="false" outlineLevel="0" collapsed="false">
      <c r="B29" s="6" t="s">
        <v>58</v>
      </c>
      <c r="C29" s="28" t="n">
        <v>55424000</v>
      </c>
      <c r="D29" s="8" t="n">
        <f aca="false">C29/假設與單價!$C$6</f>
        <v>1732000</v>
      </c>
      <c r="E29" s="8" t="n">
        <f aca="false">公用廠房!$F$41*(1+假設與單價!$C$42)</f>
        <v>2117472.49340055</v>
      </c>
      <c r="F29" s="29" t="n">
        <f aca="false">E29/D29-1</f>
        <v>0.222559176328264</v>
      </c>
    </row>
    <row r="30" customFormat="false" ht="15" hidden="false" customHeight="false" outlineLevel="0" collapsed="false">
      <c r="A30" s="11"/>
      <c r="B30" s="12" t="s">
        <v>59</v>
      </c>
      <c r="C30" s="14" t="n">
        <f aca="false">SUM(C27:C29)</f>
        <v>459120600</v>
      </c>
      <c r="D30" s="13" t="n">
        <f aca="false">SUM(D27:D29)</f>
        <v>14347518.75</v>
      </c>
      <c r="E30" s="13" t="n">
        <f aca="false">SUM(E27:E29)</f>
        <v>9971851.03181738</v>
      </c>
      <c r="F30" s="30" t="n">
        <f aca="false">E30/D30-1</f>
        <v>-0.304977313110856</v>
      </c>
    </row>
    <row r="31" customFormat="false" ht="15" hidden="false" customHeight="false" outlineLevel="0" collapsed="false">
      <c r="B31" s="31" t="s">
        <v>60</v>
      </c>
    </row>
    <row r="33" customFormat="false" ht="15" hidden="false" customHeight="false" outlineLevel="0" collapsed="false">
      <c r="B33" s="3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90"/>
  </cols>
  <sheetData>
    <row r="1" customFormat="false" ht="21.6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30" hidden="false" customHeight="true" outlineLevel="0" collapsed="false">
      <c r="A4" s="3" t="s">
        <v>64</v>
      </c>
      <c r="B4" s="3" t="s">
        <v>3</v>
      </c>
      <c r="C4" s="3" t="s">
        <v>65</v>
      </c>
      <c r="D4" s="3" t="s">
        <v>66</v>
      </c>
      <c r="E4" s="3" t="s">
        <v>67</v>
      </c>
    </row>
    <row r="5" customFormat="false" ht="22.35" hidden="false" customHeight="false" outlineLevel="0" collapsed="false">
      <c r="A5" s="5" t="s">
        <v>68</v>
      </c>
      <c r="B5" s="6" t="s">
        <v>69</v>
      </c>
      <c r="C5" s="33" t="n">
        <v>5934.88</v>
      </c>
      <c r="D5" s="22" t="s">
        <v>70</v>
      </c>
      <c r="E5" s="34" t="s">
        <v>71</v>
      </c>
    </row>
    <row r="6" customFormat="false" ht="15" hidden="false" customHeight="false" outlineLevel="0" collapsed="false">
      <c r="A6" s="5" t="s">
        <v>72</v>
      </c>
      <c r="B6" s="6" t="s">
        <v>73</v>
      </c>
      <c r="C6" s="35" t="n">
        <v>32</v>
      </c>
      <c r="D6" s="22" t="s">
        <v>74</v>
      </c>
      <c r="E6" s="36" t="s">
        <v>75</v>
      </c>
    </row>
    <row r="7" customFormat="false" ht="15" hidden="false" customHeight="false" outlineLevel="0" collapsed="false">
      <c r="A7" s="5" t="s">
        <v>76</v>
      </c>
      <c r="B7" s="22" t="s">
        <v>77</v>
      </c>
      <c r="C7" s="37" t="n">
        <v>1.1</v>
      </c>
      <c r="D7" s="6" t="s">
        <v>78</v>
      </c>
      <c r="E7" s="34" t="s">
        <v>79</v>
      </c>
    </row>
    <row r="8" customFormat="false" ht="15" hidden="false" customHeight="false" outlineLevel="0" collapsed="false">
      <c r="A8" s="5" t="s">
        <v>80</v>
      </c>
      <c r="B8" s="6" t="s">
        <v>81</v>
      </c>
      <c r="C8" s="38" t="n">
        <f aca="false">900000*1.12*假設與單價!$C$7/假設與單價!$C$5</f>
        <v>186.827703340253</v>
      </c>
      <c r="D8" s="22" t="s">
        <v>82</v>
      </c>
      <c r="E8" s="34" t="s">
        <v>83</v>
      </c>
    </row>
    <row r="9" customFormat="false" ht="15" hidden="false" customHeight="false" outlineLevel="0" collapsed="false">
      <c r="A9" s="5" t="s">
        <v>84</v>
      </c>
      <c r="B9" s="6" t="s">
        <v>85</v>
      </c>
      <c r="C9" s="38" t="n">
        <f aca="false">(7390+1400)*假設與單價!$C$7/假設與單價!$C$5</f>
        <v>1.62918205591351</v>
      </c>
      <c r="D9" s="22" t="s">
        <v>86</v>
      </c>
      <c r="E9" s="34" t="s">
        <v>87</v>
      </c>
    </row>
    <row r="10" customFormat="false" ht="24.6" hidden="false" customHeight="false" outlineLevel="0" collapsed="false">
      <c r="A10" s="5" t="s">
        <v>88</v>
      </c>
      <c r="B10" s="6" t="s">
        <v>89</v>
      </c>
      <c r="C10" s="35" t="n">
        <v>26</v>
      </c>
      <c r="D10" s="22" t="s">
        <v>5</v>
      </c>
      <c r="E10" s="34" t="s">
        <v>90</v>
      </c>
    </row>
    <row r="11" customFormat="false" ht="15" hidden="false" customHeight="false" outlineLevel="0" collapsed="false">
      <c r="A11" s="5" t="s">
        <v>91</v>
      </c>
      <c r="B11" s="6" t="s">
        <v>92</v>
      </c>
      <c r="C11" s="35" t="n">
        <v>22</v>
      </c>
      <c r="D11" s="22" t="s">
        <v>5</v>
      </c>
      <c r="E11" s="34" t="s">
        <v>93</v>
      </c>
    </row>
    <row r="12" customFormat="false" ht="15" hidden="false" customHeight="false" outlineLevel="0" collapsed="false">
      <c r="A12" s="5" t="s">
        <v>94</v>
      </c>
      <c r="B12" s="6" t="s">
        <v>95</v>
      </c>
      <c r="C12" s="35" t="n">
        <v>9</v>
      </c>
      <c r="D12" s="22" t="s">
        <v>82</v>
      </c>
      <c r="E12" s="36" t="s">
        <v>96</v>
      </c>
    </row>
    <row r="13" customFormat="false" ht="15" hidden="false" customHeight="false" outlineLevel="0" collapsed="false">
      <c r="A13" s="5" t="s">
        <v>97</v>
      </c>
      <c r="B13" s="6" t="s">
        <v>98</v>
      </c>
      <c r="C13" s="35" t="n">
        <v>95</v>
      </c>
      <c r="D13" s="22" t="s">
        <v>82</v>
      </c>
      <c r="E13" s="34" t="s">
        <v>99</v>
      </c>
    </row>
    <row r="14" customFormat="false" ht="15" hidden="false" customHeight="false" outlineLevel="0" collapsed="false">
      <c r="A14" s="5" t="s">
        <v>100</v>
      </c>
      <c r="B14" s="6" t="s">
        <v>101</v>
      </c>
      <c r="C14" s="38" t="n">
        <f aca="false">335751*假設與單價!$C$7/假設與單價!$C$5</f>
        <v>62.2297502224139</v>
      </c>
      <c r="D14" s="22" t="s">
        <v>5</v>
      </c>
      <c r="E14" s="34" t="s">
        <v>102</v>
      </c>
    </row>
    <row r="15" customFormat="false" ht="15" hidden="false" customHeight="false" outlineLevel="0" collapsed="false">
      <c r="A15" s="5" t="s">
        <v>103</v>
      </c>
      <c r="B15" s="22" t="s">
        <v>104</v>
      </c>
      <c r="C15" s="38" t="n">
        <f aca="false">0.2*假設與單價!$C$8+16*假設與單價!$C$9+2*假設與單價!$C$10</f>
        <v>115.432453562667</v>
      </c>
      <c r="D15" s="22" t="s">
        <v>5</v>
      </c>
      <c r="E15" s="36" t="s">
        <v>105</v>
      </c>
    </row>
    <row r="16" customFormat="false" ht="15" hidden="false" customHeight="false" outlineLevel="0" collapsed="false">
      <c r="A16" s="5" t="s">
        <v>106</v>
      </c>
      <c r="B16" s="6" t="s">
        <v>107</v>
      </c>
      <c r="C16" s="38" t="n">
        <f aca="false">106527*1.9*假設與單價!$C$7/假設與單價!$C$5</f>
        <v>37.5140575715095</v>
      </c>
      <c r="D16" s="22" t="s">
        <v>5</v>
      </c>
      <c r="E16" s="34" t="s">
        <v>108</v>
      </c>
    </row>
    <row r="17" customFormat="false" ht="15" hidden="false" customHeight="false" outlineLevel="0" collapsed="false">
      <c r="A17" s="5" t="s">
        <v>109</v>
      </c>
      <c r="B17" s="6" t="s">
        <v>110</v>
      </c>
      <c r="C17" s="35" t="n">
        <v>11</v>
      </c>
      <c r="D17" s="22" t="s">
        <v>5</v>
      </c>
      <c r="E17" s="36" t="s">
        <v>111</v>
      </c>
    </row>
    <row r="18" customFormat="false" ht="15" hidden="false" customHeight="false" outlineLevel="0" collapsed="false">
      <c r="A18" s="5" t="s">
        <v>112</v>
      </c>
      <c r="B18" s="6" t="s">
        <v>113</v>
      </c>
      <c r="C18" s="38" t="n">
        <f aca="false">439960*假設與單價!$C$7/假設與單價!$C$5</f>
        <v>81.5443614698191</v>
      </c>
      <c r="D18" s="22" t="s">
        <v>5</v>
      </c>
      <c r="E18" s="34" t="s">
        <v>114</v>
      </c>
    </row>
    <row r="19" customFormat="false" ht="15" hidden="false" customHeight="false" outlineLevel="0" collapsed="false">
      <c r="A19" s="5" t="s">
        <v>115</v>
      </c>
      <c r="B19" s="6" t="s">
        <v>116</v>
      </c>
      <c r="C19" s="35" t="n">
        <v>42</v>
      </c>
      <c r="D19" s="22" t="s">
        <v>5</v>
      </c>
      <c r="E19" s="36" t="s">
        <v>117</v>
      </c>
    </row>
    <row r="20" customFormat="false" ht="15" hidden="false" customHeight="false" outlineLevel="0" collapsed="false">
      <c r="A20" s="5" t="s">
        <v>118</v>
      </c>
      <c r="B20" s="6" t="s">
        <v>119</v>
      </c>
      <c r="C20" s="38" t="n">
        <f aca="false">383251/32.8*假設與單價!$C$7*1.05/假設與單價!$C$5</f>
        <v>2.27394258552005</v>
      </c>
      <c r="D20" s="22" t="s">
        <v>86</v>
      </c>
      <c r="E20" s="34" t="s">
        <v>120</v>
      </c>
    </row>
    <row r="21" customFormat="false" ht="15" hidden="false" customHeight="false" outlineLevel="0" collapsed="false">
      <c r="A21" s="5" t="s">
        <v>121</v>
      </c>
      <c r="B21" s="22" t="s">
        <v>122</v>
      </c>
      <c r="C21" s="37" t="n">
        <v>55</v>
      </c>
      <c r="D21" s="22" t="s">
        <v>123</v>
      </c>
      <c r="E21" s="34" t="s">
        <v>124</v>
      </c>
    </row>
    <row r="22" customFormat="false" ht="15" hidden="false" customHeight="false" outlineLevel="0" collapsed="false">
      <c r="A22" s="5" t="s">
        <v>125</v>
      </c>
      <c r="B22" s="6" t="s">
        <v>126</v>
      </c>
      <c r="C22" s="35" t="n">
        <v>95</v>
      </c>
      <c r="D22" s="22" t="s">
        <v>5</v>
      </c>
      <c r="E22" s="36" t="s">
        <v>127</v>
      </c>
    </row>
    <row r="23" customFormat="false" ht="15" hidden="false" customHeight="false" outlineLevel="0" collapsed="false">
      <c r="A23" s="5" t="s">
        <v>128</v>
      </c>
      <c r="B23" s="6" t="s">
        <v>129</v>
      </c>
      <c r="C23" s="35" t="n">
        <v>48</v>
      </c>
      <c r="D23" s="22" t="s">
        <v>5</v>
      </c>
      <c r="E23" s="34" t="s">
        <v>130</v>
      </c>
    </row>
    <row r="24" customFormat="false" ht="15" hidden="false" customHeight="false" outlineLevel="0" collapsed="false">
      <c r="A24" s="5" t="s">
        <v>131</v>
      </c>
      <c r="B24" s="6" t="s">
        <v>132</v>
      </c>
      <c r="C24" s="28" t="n">
        <v>135</v>
      </c>
      <c r="D24" s="22" t="s">
        <v>133</v>
      </c>
      <c r="E24" s="34" t="s">
        <v>134</v>
      </c>
    </row>
    <row r="25" customFormat="false" ht="15" hidden="false" customHeight="false" outlineLevel="0" collapsed="false">
      <c r="A25" s="5" t="s">
        <v>135</v>
      </c>
      <c r="B25" s="6" t="s">
        <v>136</v>
      </c>
      <c r="C25" s="28" t="n">
        <v>95000</v>
      </c>
      <c r="D25" s="22" t="s">
        <v>137</v>
      </c>
      <c r="E25" s="36" t="s">
        <v>138</v>
      </c>
    </row>
    <row r="26" customFormat="false" ht="15" hidden="false" customHeight="false" outlineLevel="0" collapsed="false">
      <c r="A26" s="5" t="s">
        <v>139</v>
      </c>
      <c r="B26" s="6" t="s">
        <v>140</v>
      </c>
      <c r="C26" s="28" t="n">
        <v>4200</v>
      </c>
      <c r="D26" s="22" t="s">
        <v>141</v>
      </c>
      <c r="E26" s="36" t="s">
        <v>142</v>
      </c>
    </row>
    <row r="27" customFormat="false" ht="15" hidden="false" customHeight="false" outlineLevel="0" collapsed="false">
      <c r="A27" s="5" t="s">
        <v>143</v>
      </c>
      <c r="B27" s="6" t="s">
        <v>144</v>
      </c>
      <c r="C27" s="28" t="n">
        <v>9500</v>
      </c>
      <c r="D27" s="22" t="s">
        <v>141</v>
      </c>
      <c r="E27" s="34" t="s">
        <v>145</v>
      </c>
    </row>
    <row r="28" customFormat="false" ht="15" hidden="false" customHeight="false" outlineLevel="0" collapsed="false">
      <c r="A28" s="5" t="s">
        <v>146</v>
      </c>
      <c r="B28" s="6" t="s">
        <v>147</v>
      </c>
      <c r="C28" s="28" t="n">
        <v>6500</v>
      </c>
      <c r="D28" s="22" t="s">
        <v>148</v>
      </c>
      <c r="E28" s="36" t="s">
        <v>142</v>
      </c>
    </row>
    <row r="29" customFormat="false" ht="15" hidden="false" customHeight="false" outlineLevel="0" collapsed="false">
      <c r="A29" s="5" t="s">
        <v>149</v>
      </c>
      <c r="B29" s="6" t="s">
        <v>150</v>
      </c>
      <c r="C29" s="35" t="n">
        <v>55</v>
      </c>
      <c r="D29" s="22" t="s">
        <v>5</v>
      </c>
      <c r="E29" s="36" t="s">
        <v>151</v>
      </c>
    </row>
    <row r="30" customFormat="false" ht="15" hidden="false" customHeight="false" outlineLevel="0" collapsed="false">
      <c r="A30" s="5" t="s">
        <v>152</v>
      </c>
      <c r="B30" s="6" t="s">
        <v>153</v>
      </c>
      <c r="C30" s="35" t="n">
        <v>14</v>
      </c>
      <c r="D30" s="22" t="s">
        <v>5</v>
      </c>
      <c r="E30" s="36" t="s">
        <v>142</v>
      </c>
    </row>
    <row r="31" customFormat="false" ht="15" hidden="false" customHeight="false" outlineLevel="0" collapsed="false">
      <c r="A31" s="5" t="s">
        <v>154</v>
      </c>
      <c r="B31" s="6" t="s">
        <v>155</v>
      </c>
      <c r="C31" s="35" t="n">
        <v>8</v>
      </c>
      <c r="D31" s="22" t="s">
        <v>5</v>
      </c>
      <c r="E31" s="34" t="s">
        <v>156</v>
      </c>
    </row>
    <row r="32" customFormat="false" ht="15" hidden="false" customHeight="false" outlineLevel="0" collapsed="false">
      <c r="A32" s="5" t="s">
        <v>157</v>
      </c>
      <c r="B32" s="6" t="s">
        <v>158</v>
      </c>
      <c r="C32" s="35" t="n">
        <v>16</v>
      </c>
      <c r="D32" s="22" t="s">
        <v>5</v>
      </c>
      <c r="E32" s="36" t="s">
        <v>142</v>
      </c>
    </row>
    <row r="33" customFormat="false" ht="15" hidden="false" customHeight="false" outlineLevel="0" collapsed="false">
      <c r="A33" s="5" t="s">
        <v>159</v>
      </c>
      <c r="B33" s="6" t="s">
        <v>160</v>
      </c>
      <c r="C33" s="35" t="n">
        <v>38</v>
      </c>
      <c r="D33" s="22" t="s">
        <v>5</v>
      </c>
      <c r="E33" s="34" t="s">
        <v>161</v>
      </c>
    </row>
    <row r="34" customFormat="false" ht="15" hidden="false" customHeight="false" outlineLevel="0" collapsed="false">
      <c r="A34" s="5" t="s">
        <v>162</v>
      </c>
      <c r="B34" s="6" t="s">
        <v>163</v>
      </c>
      <c r="C34" s="35" t="n">
        <v>9</v>
      </c>
      <c r="D34" s="22" t="s">
        <v>5</v>
      </c>
      <c r="E34" s="36" t="s">
        <v>164</v>
      </c>
    </row>
    <row r="35" customFormat="false" ht="15" hidden="false" customHeight="false" outlineLevel="0" collapsed="false">
      <c r="A35" s="5" t="s">
        <v>165</v>
      </c>
      <c r="B35" s="6" t="s">
        <v>166</v>
      </c>
      <c r="C35" s="28" t="n">
        <v>380000</v>
      </c>
      <c r="D35" s="22" t="s">
        <v>167</v>
      </c>
      <c r="E35" s="36" t="s">
        <v>168</v>
      </c>
    </row>
    <row r="36" customFormat="false" ht="15" hidden="false" customHeight="false" outlineLevel="0" collapsed="false">
      <c r="A36" s="5" t="s">
        <v>169</v>
      </c>
      <c r="B36" s="6" t="s">
        <v>170</v>
      </c>
      <c r="C36" s="28" t="n">
        <v>165000</v>
      </c>
      <c r="D36" s="22" t="s">
        <v>167</v>
      </c>
      <c r="E36" s="36" t="s">
        <v>171</v>
      </c>
    </row>
    <row r="37" customFormat="false" ht="15" hidden="false" customHeight="false" outlineLevel="0" collapsed="false">
      <c r="A37" s="5" t="s">
        <v>172</v>
      </c>
      <c r="B37" s="6" t="s">
        <v>173</v>
      </c>
      <c r="C37" s="28" t="n">
        <v>62000</v>
      </c>
      <c r="D37" s="22" t="s">
        <v>167</v>
      </c>
      <c r="E37" s="36" t="s">
        <v>142</v>
      </c>
    </row>
    <row r="38" customFormat="false" ht="15" hidden="false" customHeight="false" outlineLevel="0" collapsed="false">
      <c r="A38" s="5" t="s">
        <v>174</v>
      </c>
      <c r="B38" s="22" t="s">
        <v>175</v>
      </c>
      <c r="C38" s="28" t="n">
        <v>420</v>
      </c>
      <c r="D38" s="22" t="s">
        <v>82</v>
      </c>
      <c r="E38" s="34" t="s">
        <v>176</v>
      </c>
    </row>
    <row r="39" customFormat="false" ht="15" hidden="false" customHeight="false" outlineLevel="0" collapsed="false">
      <c r="A39" s="5" t="s">
        <v>177</v>
      </c>
      <c r="B39" s="6" t="s">
        <v>178</v>
      </c>
      <c r="C39" s="28" t="n">
        <v>45000</v>
      </c>
      <c r="D39" s="22" t="s">
        <v>167</v>
      </c>
      <c r="E39" s="36" t="s">
        <v>179</v>
      </c>
    </row>
    <row r="40" customFormat="false" ht="15" hidden="false" customHeight="false" outlineLevel="0" collapsed="false">
      <c r="A40" s="5" t="s">
        <v>180</v>
      </c>
      <c r="B40" s="6" t="s">
        <v>181</v>
      </c>
      <c r="C40" s="28" t="n">
        <v>900</v>
      </c>
      <c r="D40" s="22" t="s">
        <v>133</v>
      </c>
      <c r="E40" s="36" t="s">
        <v>182</v>
      </c>
    </row>
    <row r="41" customFormat="false" ht="15" hidden="false" customHeight="false" outlineLevel="0" collapsed="false">
      <c r="A41" s="5" t="s">
        <v>183</v>
      </c>
      <c r="B41" s="6" t="s">
        <v>184</v>
      </c>
      <c r="C41" s="35" t="n">
        <v>6.5</v>
      </c>
      <c r="D41" s="22" t="s">
        <v>5</v>
      </c>
      <c r="E41" s="36" t="s">
        <v>185</v>
      </c>
    </row>
    <row r="42" customFormat="false" ht="15" hidden="false" customHeight="false" outlineLevel="0" collapsed="false">
      <c r="A42" s="5" t="s">
        <v>186</v>
      </c>
      <c r="B42" s="6" t="s">
        <v>187</v>
      </c>
      <c r="C42" s="39" t="n">
        <v>0.14</v>
      </c>
      <c r="D42" s="22" t="s">
        <v>188</v>
      </c>
      <c r="E42" s="36" t="s">
        <v>189</v>
      </c>
    </row>
    <row r="43" customFormat="false" ht="15" hidden="false" customHeight="false" outlineLevel="0" collapsed="false">
      <c r="A43" s="5" t="s">
        <v>190</v>
      </c>
      <c r="B43" s="6" t="s">
        <v>191</v>
      </c>
      <c r="C43" s="40" t="n">
        <v>0.045</v>
      </c>
      <c r="D43" s="22" t="s">
        <v>188</v>
      </c>
      <c r="E43" s="34" t="s">
        <v>192</v>
      </c>
    </row>
    <row r="44" customFormat="false" ht="15" hidden="false" customHeight="false" outlineLevel="0" collapsed="false">
      <c r="A44" s="5" t="s">
        <v>193</v>
      </c>
      <c r="B44" s="6" t="s">
        <v>32</v>
      </c>
      <c r="C44" s="40" t="n">
        <v>0.03</v>
      </c>
      <c r="D44" s="22" t="s">
        <v>188</v>
      </c>
      <c r="E44" s="34" t="s">
        <v>194</v>
      </c>
    </row>
    <row r="45" customFormat="false" ht="15" hidden="false" customHeight="false" outlineLevel="0" collapsed="false">
      <c r="A45" s="5" t="s">
        <v>195</v>
      </c>
      <c r="B45" s="6" t="s">
        <v>196</v>
      </c>
      <c r="C45" s="40" t="n">
        <v>0.012</v>
      </c>
      <c r="D45" s="22" t="s">
        <v>188</v>
      </c>
      <c r="E45" s="36" t="s">
        <v>197</v>
      </c>
    </row>
    <row r="46" customFormat="false" ht="15" hidden="false" customHeight="false" outlineLevel="0" collapsed="false">
      <c r="A46" s="5" t="s">
        <v>198</v>
      </c>
      <c r="B46" s="6" t="s">
        <v>38</v>
      </c>
      <c r="C46" s="40" t="n">
        <v>0.008</v>
      </c>
      <c r="D46" s="22" t="s">
        <v>188</v>
      </c>
      <c r="E46" s="36" t="s">
        <v>199</v>
      </c>
    </row>
    <row r="47" customFormat="false" ht="15" hidden="false" customHeight="false" outlineLevel="0" collapsed="false">
      <c r="A47" s="5" t="s">
        <v>200</v>
      </c>
      <c r="B47" s="6" t="s">
        <v>201</v>
      </c>
      <c r="C47" s="28" t="n">
        <v>18000</v>
      </c>
      <c r="D47" s="22" t="s">
        <v>167</v>
      </c>
      <c r="E47" s="34" t="s">
        <v>202</v>
      </c>
    </row>
    <row r="48" customFormat="false" ht="15" hidden="false" customHeight="false" outlineLevel="0" collapsed="false">
      <c r="A48" s="5" t="s">
        <v>203</v>
      </c>
      <c r="B48" s="6" t="s">
        <v>204</v>
      </c>
      <c r="C48" s="39" t="n">
        <v>0.1</v>
      </c>
      <c r="D48" s="22" t="s">
        <v>188</v>
      </c>
      <c r="E48" s="34" t="s">
        <v>205</v>
      </c>
    </row>
    <row r="49" customFormat="false" ht="15" hidden="false" customHeight="false" outlineLevel="0" collapsed="false">
      <c r="A49" s="5" t="s">
        <v>206</v>
      </c>
      <c r="B49" s="22" t="s">
        <v>207</v>
      </c>
      <c r="C49" s="40" t="n">
        <v>0.1</v>
      </c>
      <c r="D49" s="22" t="s">
        <v>188</v>
      </c>
      <c r="E49" s="36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48"/>
  </cols>
  <sheetData>
    <row r="1" customFormat="false" ht="21.6" hidden="false" customHeight="false" outlineLevel="0" collapsed="false">
      <c r="A1" s="41" t="s">
        <v>209</v>
      </c>
    </row>
    <row r="2" customFormat="false" ht="15" hidden="false" customHeight="false" outlineLevel="0" collapsed="false">
      <c r="A2" s="2" t="s">
        <v>210</v>
      </c>
    </row>
    <row r="4" customFormat="false" ht="30" hidden="false" customHeight="true" outlineLevel="0" collapsed="false">
      <c r="A4" s="3" t="s">
        <v>211</v>
      </c>
      <c r="B4" s="3" t="s">
        <v>212</v>
      </c>
      <c r="C4" s="4" t="s">
        <v>213</v>
      </c>
      <c r="D4" s="3" t="s">
        <v>214</v>
      </c>
      <c r="E4" s="3" t="s">
        <v>215</v>
      </c>
      <c r="F4" s="3" t="s">
        <v>216</v>
      </c>
      <c r="G4" s="3" t="s">
        <v>217</v>
      </c>
      <c r="H4" s="3" t="s">
        <v>218</v>
      </c>
      <c r="I4" s="3" t="s">
        <v>219</v>
      </c>
      <c r="J4" s="3" t="s">
        <v>7</v>
      </c>
    </row>
    <row r="5" customFormat="false" ht="15" hidden="false" customHeight="false" outlineLevel="0" collapsed="false">
      <c r="A5" s="22" t="s">
        <v>220</v>
      </c>
      <c r="B5" s="6" t="s">
        <v>221</v>
      </c>
      <c r="C5" s="42" t="n">
        <v>30</v>
      </c>
      <c r="D5" s="43" t="n">
        <v>42.1</v>
      </c>
      <c r="E5" s="28" t="n">
        <v>302</v>
      </c>
      <c r="F5" s="42" t="n">
        <v>150</v>
      </c>
      <c r="G5" s="9" t="n">
        <f aca="false">D5*F5</f>
        <v>6315</v>
      </c>
      <c r="H5" s="35" t="n">
        <v>0.95</v>
      </c>
      <c r="I5" s="9" t="n">
        <f aca="false">IF(D5&gt;0,E5*H5,0)</f>
        <v>286.9</v>
      </c>
      <c r="J5" s="16" t="s">
        <v>222</v>
      </c>
    </row>
    <row r="6" customFormat="false" ht="15" hidden="false" customHeight="false" outlineLevel="0" collapsed="false">
      <c r="A6" s="22" t="s">
        <v>220</v>
      </c>
      <c r="B6" s="6" t="s">
        <v>223</v>
      </c>
      <c r="C6" s="42" t="n">
        <v>14</v>
      </c>
      <c r="D6" s="43" t="n">
        <v>30.9</v>
      </c>
      <c r="E6" s="28" t="n">
        <v>471</v>
      </c>
      <c r="F6" s="42" t="n">
        <v>130</v>
      </c>
      <c r="G6" s="9" t="n">
        <f aca="false">D6*F6</f>
        <v>4017</v>
      </c>
      <c r="H6" s="35" t="n">
        <v>0.75</v>
      </c>
      <c r="I6" s="9" t="n">
        <f aca="false">IF(D6&gt;0,E6*H6,0)</f>
        <v>353.25</v>
      </c>
      <c r="J6" s="16" t="s">
        <v>222</v>
      </c>
    </row>
    <row r="7" customFormat="false" ht="15" hidden="false" customHeight="false" outlineLevel="0" collapsed="false">
      <c r="A7" s="22" t="s">
        <v>220</v>
      </c>
      <c r="B7" s="6" t="s">
        <v>224</v>
      </c>
      <c r="C7" s="42" t="n">
        <v>30</v>
      </c>
      <c r="D7" s="43" t="n">
        <v>34.6</v>
      </c>
      <c r="E7" s="28" t="n">
        <v>202</v>
      </c>
      <c r="F7" s="42" t="n">
        <v>100</v>
      </c>
      <c r="G7" s="9" t="n">
        <f aca="false">D7*F7</f>
        <v>3460</v>
      </c>
      <c r="H7" s="35" t="n">
        <v>0.5</v>
      </c>
      <c r="I7" s="9" t="n">
        <f aca="false">IF(D7&gt;0,E7*H7,0)</f>
        <v>101</v>
      </c>
      <c r="J7" s="16" t="s">
        <v>222</v>
      </c>
    </row>
    <row r="8" customFormat="false" ht="15" hidden="false" customHeight="false" outlineLevel="0" collapsed="false">
      <c r="A8" s="22" t="s">
        <v>225</v>
      </c>
      <c r="B8" s="6" t="s">
        <v>221</v>
      </c>
      <c r="C8" s="42" t="n">
        <v>30</v>
      </c>
      <c r="D8" s="43" t="n">
        <v>36.6</v>
      </c>
      <c r="E8" s="28" t="n">
        <v>276</v>
      </c>
      <c r="F8" s="42" t="n">
        <v>150</v>
      </c>
      <c r="G8" s="9" t="n">
        <f aca="false">D8*F8</f>
        <v>5490</v>
      </c>
      <c r="H8" s="35" t="n">
        <v>0.95</v>
      </c>
      <c r="I8" s="9" t="n">
        <f aca="false">IF(D8&gt;0,E8*H8,0)</f>
        <v>262.2</v>
      </c>
      <c r="J8" s="16" t="s">
        <v>222</v>
      </c>
    </row>
    <row r="9" customFormat="false" ht="15" hidden="false" customHeight="false" outlineLevel="0" collapsed="false">
      <c r="A9" s="22" t="s">
        <v>225</v>
      </c>
      <c r="B9" s="6" t="s">
        <v>223</v>
      </c>
      <c r="C9" s="42" t="n">
        <v>53</v>
      </c>
      <c r="D9" s="43" t="n">
        <v>168.6</v>
      </c>
      <c r="E9" s="28" t="n">
        <v>1474</v>
      </c>
      <c r="F9" s="42" t="n">
        <v>130</v>
      </c>
      <c r="G9" s="9" t="n">
        <f aca="false">D9*F9</f>
        <v>21918</v>
      </c>
      <c r="H9" s="35" t="n">
        <v>0.75</v>
      </c>
      <c r="I9" s="9" t="n">
        <f aca="false">IF(D9&gt;0,E9*H9,0)</f>
        <v>1105.5</v>
      </c>
      <c r="J9" s="16" t="s">
        <v>222</v>
      </c>
    </row>
    <row r="10" customFormat="false" ht="15" hidden="false" customHeight="false" outlineLevel="0" collapsed="false">
      <c r="A10" s="22" t="s">
        <v>225</v>
      </c>
      <c r="B10" s="6" t="s">
        <v>224</v>
      </c>
      <c r="C10" s="42" t="n">
        <v>3</v>
      </c>
      <c r="D10" s="43" t="n">
        <v>328.7</v>
      </c>
      <c r="E10" s="28" t="n">
        <v>3366</v>
      </c>
      <c r="F10" s="42" t="n">
        <v>100</v>
      </c>
      <c r="G10" s="9" t="n">
        <f aca="false">D10*F10</f>
        <v>32870</v>
      </c>
      <c r="H10" s="35" t="n">
        <v>0.5</v>
      </c>
      <c r="I10" s="9" t="n">
        <f aca="false">IF(D10&gt;0,E10*H10,0)</f>
        <v>1683</v>
      </c>
      <c r="J10" s="16" t="s">
        <v>226</v>
      </c>
    </row>
    <row r="11" customFormat="false" ht="15" hidden="false" customHeight="false" outlineLevel="0" collapsed="false">
      <c r="A11" s="22" t="s">
        <v>225</v>
      </c>
      <c r="B11" s="22" t="s">
        <v>227</v>
      </c>
      <c r="C11" s="42" t="n">
        <v>8</v>
      </c>
      <c r="D11" s="43" t="n">
        <v>18.6</v>
      </c>
      <c r="E11" s="28" t="n">
        <v>268</v>
      </c>
      <c r="F11" s="42" t="n">
        <v>80</v>
      </c>
      <c r="G11" s="9" t="n">
        <f aca="false">D11*F11</f>
        <v>1488</v>
      </c>
      <c r="H11" s="35" t="n">
        <v>0.9</v>
      </c>
      <c r="I11" s="9" t="n">
        <f aca="false">IF(D11&gt;0,E11*H11,0)</f>
        <v>241.2</v>
      </c>
      <c r="J11" s="16" t="s">
        <v>222</v>
      </c>
    </row>
    <row r="12" customFormat="false" ht="15" hidden="false" customHeight="false" outlineLevel="0" collapsed="false">
      <c r="A12" s="22" t="s">
        <v>225</v>
      </c>
      <c r="B12" s="6" t="s">
        <v>228</v>
      </c>
      <c r="C12" s="42" t="n">
        <v>4</v>
      </c>
      <c r="D12" s="43" t="n">
        <v>21.7</v>
      </c>
      <c r="E12" s="28" t="n">
        <v>92</v>
      </c>
      <c r="F12" s="42" t="n">
        <v>110</v>
      </c>
      <c r="G12" s="9" t="n">
        <f aca="false">D12*F12</f>
        <v>2387</v>
      </c>
      <c r="H12" s="35" t="n">
        <v>0.6</v>
      </c>
      <c r="I12" s="9" t="n">
        <f aca="false">IF(D12&gt;0,E12*H12,0)</f>
        <v>55.2</v>
      </c>
      <c r="J12" s="16" t="s">
        <v>226</v>
      </c>
    </row>
    <row r="13" customFormat="false" ht="15" hidden="false" customHeight="false" outlineLevel="0" collapsed="false">
      <c r="A13" s="22" t="s">
        <v>229</v>
      </c>
      <c r="B13" s="6" t="s">
        <v>221</v>
      </c>
      <c r="C13" s="42" t="n">
        <v>29</v>
      </c>
      <c r="D13" s="43" t="n">
        <v>34.7</v>
      </c>
      <c r="E13" s="28" t="n">
        <v>257</v>
      </c>
      <c r="F13" s="42" t="n">
        <v>150</v>
      </c>
      <c r="G13" s="9" t="n">
        <f aca="false">D13*F13</f>
        <v>5205</v>
      </c>
      <c r="H13" s="35" t="n">
        <v>0.95</v>
      </c>
      <c r="I13" s="9" t="n">
        <f aca="false">IF(D13&gt;0,E13*H13,0)</f>
        <v>244.15</v>
      </c>
      <c r="J13" s="16" t="s">
        <v>222</v>
      </c>
    </row>
    <row r="14" customFormat="false" ht="15" hidden="false" customHeight="false" outlineLevel="0" collapsed="false">
      <c r="A14" s="22" t="s">
        <v>229</v>
      </c>
      <c r="B14" s="6" t="s">
        <v>223</v>
      </c>
      <c r="C14" s="42" t="n">
        <v>32</v>
      </c>
      <c r="D14" s="43" t="n">
        <v>135.4</v>
      </c>
      <c r="E14" s="28" t="n">
        <v>1135</v>
      </c>
      <c r="F14" s="42" t="n">
        <v>130</v>
      </c>
      <c r="G14" s="9" t="n">
        <f aca="false">D14*F14</f>
        <v>17602</v>
      </c>
      <c r="H14" s="35" t="n">
        <v>0.75</v>
      </c>
      <c r="I14" s="9" t="n">
        <f aca="false">IF(D14&gt;0,E14*H14,0)</f>
        <v>851.25</v>
      </c>
      <c r="J14" s="16" t="s">
        <v>222</v>
      </c>
    </row>
    <row r="15" customFormat="false" ht="15" hidden="false" customHeight="false" outlineLevel="0" collapsed="false">
      <c r="A15" s="22" t="s">
        <v>229</v>
      </c>
      <c r="B15" s="6" t="s">
        <v>224</v>
      </c>
      <c r="C15" s="42" t="n">
        <v>3</v>
      </c>
      <c r="D15" s="43" t="n">
        <v>178.4</v>
      </c>
      <c r="E15" s="28" t="n">
        <v>1843</v>
      </c>
      <c r="F15" s="42" t="n">
        <v>100</v>
      </c>
      <c r="G15" s="9" t="n">
        <f aca="false">D15*F15</f>
        <v>17840</v>
      </c>
      <c r="H15" s="35" t="n">
        <v>0.5</v>
      </c>
      <c r="I15" s="9" t="n">
        <f aca="false">IF(D15&gt;0,E15*H15,0)</f>
        <v>921.5</v>
      </c>
      <c r="J15" s="16" t="s">
        <v>226</v>
      </c>
    </row>
    <row r="16" customFormat="false" ht="15" hidden="false" customHeight="false" outlineLevel="0" collapsed="false">
      <c r="A16" s="22" t="s">
        <v>229</v>
      </c>
      <c r="B16" s="22" t="s">
        <v>227</v>
      </c>
      <c r="C16" s="42" t="n">
        <v>8</v>
      </c>
      <c r="D16" s="43" t="n">
        <v>17.6</v>
      </c>
      <c r="E16" s="28" t="n">
        <v>254</v>
      </c>
      <c r="F16" s="42" t="n">
        <v>80</v>
      </c>
      <c r="G16" s="9" t="n">
        <f aca="false">D16*F16</f>
        <v>1408</v>
      </c>
      <c r="H16" s="35" t="n">
        <v>0.9</v>
      </c>
      <c r="I16" s="9" t="n">
        <f aca="false">IF(D16&gt;0,E16*H16,0)</f>
        <v>228.6</v>
      </c>
      <c r="J16" s="16" t="s">
        <v>222</v>
      </c>
    </row>
    <row r="17" customFormat="false" ht="15" hidden="false" customHeight="false" outlineLevel="0" collapsed="false">
      <c r="A17" s="22" t="s">
        <v>229</v>
      </c>
      <c r="B17" s="6" t="s">
        <v>228</v>
      </c>
      <c r="C17" s="42" t="n">
        <v>4</v>
      </c>
      <c r="D17" s="43" t="n">
        <v>21.7</v>
      </c>
      <c r="E17" s="28" t="n">
        <v>92</v>
      </c>
      <c r="F17" s="42" t="n">
        <v>110</v>
      </c>
      <c r="G17" s="9" t="n">
        <f aca="false">D17*F17</f>
        <v>2387</v>
      </c>
      <c r="H17" s="35" t="n">
        <v>0.6</v>
      </c>
      <c r="I17" s="9" t="n">
        <f aca="false">IF(D17&gt;0,E17*H17,0)</f>
        <v>55.2</v>
      </c>
      <c r="J17" s="16" t="s">
        <v>226</v>
      </c>
    </row>
    <row r="18" customFormat="false" ht="15" hidden="false" customHeight="false" outlineLevel="0" collapsed="false">
      <c r="A18" s="22" t="s">
        <v>230</v>
      </c>
      <c r="B18" s="6" t="s">
        <v>221</v>
      </c>
      <c r="C18" s="42" t="n">
        <v>29</v>
      </c>
      <c r="D18" s="43" t="n">
        <v>40</v>
      </c>
      <c r="E18" s="28" t="n">
        <v>292</v>
      </c>
      <c r="F18" s="42" t="n">
        <v>150</v>
      </c>
      <c r="G18" s="9" t="n">
        <f aca="false">D18*F18</f>
        <v>6000</v>
      </c>
      <c r="H18" s="35" t="n">
        <v>0.95</v>
      </c>
      <c r="I18" s="9" t="n">
        <f aca="false">IF(D18&gt;0,E18*H18,0)</f>
        <v>277.4</v>
      </c>
      <c r="J18" s="16" t="s">
        <v>222</v>
      </c>
    </row>
    <row r="19" customFormat="false" ht="15" hidden="false" customHeight="false" outlineLevel="0" collapsed="false">
      <c r="A19" s="22" t="s">
        <v>230</v>
      </c>
      <c r="B19" s="6" t="s">
        <v>223</v>
      </c>
      <c r="C19" s="42" t="n">
        <v>38</v>
      </c>
      <c r="D19" s="43" t="n">
        <v>154.7</v>
      </c>
      <c r="E19" s="28" t="n">
        <v>1401</v>
      </c>
      <c r="F19" s="42" t="n">
        <v>130</v>
      </c>
      <c r="G19" s="9" t="n">
        <f aca="false">D19*F19</f>
        <v>20111</v>
      </c>
      <c r="H19" s="35" t="n">
        <v>0.75</v>
      </c>
      <c r="I19" s="9" t="n">
        <f aca="false">IF(D19&gt;0,E19*H19,0)</f>
        <v>1050.75</v>
      </c>
      <c r="J19" s="16" t="s">
        <v>222</v>
      </c>
    </row>
    <row r="20" customFormat="false" ht="15" hidden="false" customHeight="false" outlineLevel="0" collapsed="false">
      <c r="A20" s="22" t="s">
        <v>230</v>
      </c>
      <c r="B20" s="6" t="s">
        <v>224</v>
      </c>
      <c r="C20" s="42" t="n">
        <v>3</v>
      </c>
      <c r="D20" s="43" t="n">
        <v>254.4</v>
      </c>
      <c r="E20" s="28" t="n">
        <v>2669</v>
      </c>
      <c r="F20" s="42" t="n">
        <v>100</v>
      </c>
      <c r="G20" s="9" t="n">
        <f aca="false">D20*F20</f>
        <v>25440</v>
      </c>
      <c r="H20" s="35" t="n">
        <v>0.5</v>
      </c>
      <c r="I20" s="9" t="n">
        <f aca="false">IF(D20&gt;0,E20*H20,0)</f>
        <v>1334.5</v>
      </c>
      <c r="J20" s="16" t="s">
        <v>226</v>
      </c>
    </row>
    <row r="21" customFormat="false" ht="15" hidden="false" customHeight="false" outlineLevel="0" collapsed="false">
      <c r="A21" s="22" t="s">
        <v>230</v>
      </c>
      <c r="B21" s="22" t="s">
        <v>227</v>
      </c>
      <c r="C21" s="42" t="n">
        <v>8</v>
      </c>
      <c r="D21" s="43" t="n">
        <v>21.7</v>
      </c>
      <c r="E21" s="28" t="n">
        <v>310</v>
      </c>
      <c r="F21" s="42" t="n">
        <v>80</v>
      </c>
      <c r="G21" s="9" t="n">
        <f aca="false">D21*F21</f>
        <v>1736</v>
      </c>
      <c r="H21" s="35" t="n">
        <v>0.9</v>
      </c>
      <c r="I21" s="9" t="n">
        <f aca="false">IF(D21&gt;0,E21*H21,0)</f>
        <v>279</v>
      </c>
      <c r="J21" s="16" t="s">
        <v>222</v>
      </c>
    </row>
    <row r="22" customFormat="false" ht="15" hidden="false" customHeight="false" outlineLevel="0" collapsed="false">
      <c r="A22" s="22" t="s">
        <v>230</v>
      </c>
      <c r="B22" s="6" t="s">
        <v>228</v>
      </c>
      <c r="C22" s="42" t="n">
        <v>4</v>
      </c>
      <c r="D22" s="43" t="n">
        <v>22</v>
      </c>
      <c r="E22" s="28" t="n">
        <v>91</v>
      </c>
      <c r="F22" s="42" t="n">
        <v>110</v>
      </c>
      <c r="G22" s="9" t="n">
        <f aca="false">D22*F22</f>
        <v>2420</v>
      </c>
      <c r="H22" s="35" t="n">
        <v>0.6</v>
      </c>
      <c r="I22" s="9" t="n">
        <f aca="false">IF(D22&gt;0,E22*H22,0)</f>
        <v>54.6</v>
      </c>
      <c r="J22" s="16" t="s">
        <v>226</v>
      </c>
    </row>
    <row r="23" customFormat="false" ht="15" hidden="false" customHeight="false" outlineLevel="0" collapsed="false">
      <c r="A23" s="22" t="s">
        <v>231</v>
      </c>
      <c r="B23" s="6" t="s">
        <v>221</v>
      </c>
      <c r="C23" s="42" t="n">
        <v>29</v>
      </c>
      <c r="D23" s="43" t="n">
        <v>40</v>
      </c>
      <c r="E23" s="28" t="n">
        <v>292</v>
      </c>
      <c r="F23" s="42" t="n">
        <v>150</v>
      </c>
      <c r="G23" s="9" t="n">
        <f aca="false">D23*F23</f>
        <v>6000</v>
      </c>
      <c r="H23" s="35" t="n">
        <v>0.95</v>
      </c>
      <c r="I23" s="9" t="n">
        <f aca="false">IF(D23&gt;0,E23*H23,0)</f>
        <v>277.4</v>
      </c>
      <c r="J23" s="16" t="s">
        <v>222</v>
      </c>
    </row>
    <row r="24" customFormat="false" ht="15" hidden="false" customHeight="false" outlineLevel="0" collapsed="false">
      <c r="A24" s="22" t="s">
        <v>231</v>
      </c>
      <c r="B24" s="6" t="s">
        <v>223</v>
      </c>
      <c r="C24" s="42" t="n">
        <v>40</v>
      </c>
      <c r="D24" s="43" t="n">
        <v>191.9</v>
      </c>
      <c r="E24" s="28" t="n">
        <v>1675</v>
      </c>
      <c r="F24" s="42" t="n">
        <v>130</v>
      </c>
      <c r="G24" s="9" t="n">
        <f aca="false">D24*F24</f>
        <v>24947</v>
      </c>
      <c r="H24" s="35" t="n">
        <v>0.75</v>
      </c>
      <c r="I24" s="9" t="n">
        <f aca="false">IF(D24&gt;0,E24*H24,0)</f>
        <v>1256.25</v>
      </c>
      <c r="J24" s="16" t="s">
        <v>222</v>
      </c>
    </row>
    <row r="25" customFormat="false" ht="15" hidden="false" customHeight="false" outlineLevel="0" collapsed="false">
      <c r="A25" s="22" t="s">
        <v>231</v>
      </c>
      <c r="B25" s="6" t="s">
        <v>224</v>
      </c>
      <c r="C25" s="42" t="n">
        <v>3</v>
      </c>
      <c r="D25" s="43" t="n">
        <v>304.1</v>
      </c>
      <c r="E25" s="28" t="n">
        <v>3129</v>
      </c>
      <c r="F25" s="42" t="n">
        <v>100</v>
      </c>
      <c r="G25" s="9" t="n">
        <f aca="false">D25*F25</f>
        <v>30410</v>
      </c>
      <c r="H25" s="35" t="n">
        <v>0.5</v>
      </c>
      <c r="I25" s="9" t="n">
        <f aca="false">IF(D25&gt;0,E25*H25,0)</f>
        <v>1564.5</v>
      </c>
      <c r="J25" s="16" t="s">
        <v>226</v>
      </c>
    </row>
    <row r="26" customFormat="false" ht="15" hidden="false" customHeight="false" outlineLevel="0" collapsed="false">
      <c r="A26" s="22" t="s">
        <v>231</v>
      </c>
      <c r="B26" s="22" t="s">
        <v>227</v>
      </c>
      <c r="C26" s="42" t="n">
        <v>8</v>
      </c>
      <c r="D26" s="43" t="n">
        <v>21.7</v>
      </c>
      <c r="E26" s="28" t="n">
        <v>310</v>
      </c>
      <c r="F26" s="42" t="n">
        <v>80</v>
      </c>
      <c r="G26" s="9" t="n">
        <f aca="false">D26*F26</f>
        <v>1736</v>
      </c>
      <c r="H26" s="35" t="n">
        <v>0.9</v>
      </c>
      <c r="I26" s="9" t="n">
        <f aca="false">IF(D26&gt;0,E26*H26,0)</f>
        <v>279</v>
      </c>
      <c r="J26" s="16" t="s">
        <v>222</v>
      </c>
    </row>
    <row r="27" customFormat="false" ht="15" hidden="false" customHeight="false" outlineLevel="0" collapsed="false">
      <c r="A27" s="22" t="s">
        <v>231</v>
      </c>
      <c r="B27" s="6" t="s">
        <v>228</v>
      </c>
      <c r="C27" s="42" t="n">
        <v>4</v>
      </c>
      <c r="D27" s="43" t="n">
        <v>22</v>
      </c>
      <c r="E27" s="28" t="n">
        <v>91</v>
      </c>
      <c r="F27" s="42" t="n">
        <v>110</v>
      </c>
      <c r="G27" s="9" t="n">
        <f aca="false">D27*F27</f>
        <v>2420</v>
      </c>
      <c r="H27" s="35" t="n">
        <v>0.6</v>
      </c>
      <c r="I27" s="9" t="n">
        <f aca="false">IF(D27&gt;0,E27*H27,0)</f>
        <v>54.6</v>
      </c>
      <c r="J27" s="16" t="s">
        <v>226</v>
      </c>
    </row>
    <row r="28" customFormat="false" ht="15" hidden="false" customHeight="false" outlineLevel="0" collapsed="false">
      <c r="A28" s="22" t="s">
        <v>232</v>
      </c>
      <c r="B28" s="6" t="s">
        <v>221</v>
      </c>
      <c r="C28" s="42" t="n">
        <v>27</v>
      </c>
      <c r="D28" s="43" t="n">
        <v>71.3</v>
      </c>
      <c r="E28" s="28" t="n">
        <v>495</v>
      </c>
      <c r="F28" s="42" t="n">
        <v>150</v>
      </c>
      <c r="G28" s="9" t="n">
        <f aca="false">D28*F28</f>
        <v>10695</v>
      </c>
      <c r="H28" s="35" t="n">
        <v>0.95</v>
      </c>
      <c r="I28" s="9" t="n">
        <f aca="false">IF(D28&gt;0,E28*H28,0)</f>
        <v>470.25</v>
      </c>
      <c r="J28" s="16" t="s">
        <v>222</v>
      </c>
    </row>
    <row r="29" customFormat="false" ht="15" hidden="false" customHeight="false" outlineLevel="0" collapsed="false">
      <c r="A29" s="22" t="s">
        <v>232</v>
      </c>
      <c r="B29" s="6" t="s">
        <v>223</v>
      </c>
      <c r="C29" s="42" t="n">
        <v>39</v>
      </c>
      <c r="D29" s="43" t="n">
        <v>176.5</v>
      </c>
      <c r="E29" s="28" t="n">
        <v>1555</v>
      </c>
      <c r="F29" s="42" t="n">
        <v>130</v>
      </c>
      <c r="G29" s="9" t="n">
        <f aca="false">D29*F29</f>
        <v>22945</v>
      </c>
      <c r="H29" s="35" t="n">
        <v>0.75</v>
      </c>
      <c r="I29" s="9" t="n">
        <f aca="false">IF(D29&gt;0,E29*H29,0)</f>
        <v>1166.25</v>
      </c>
      <c r="J29" s="16" t="s">
        <v>222</v>
      </c>
    </row>
    <row r="30" customFormat="false" ht="15" hidden="false" customHeight="false" outlineLevel="0" collapsed="false">
      <c r="A30" s="22" t="s">
        <v>232</v>
      </c>
      <c r="B30" s="6" t="s">
        <v>224</v>
      </c>
      <c r="C30" s="42" t="n">
        <v>1</v>
      </c>
      <c r="D30" s="43" t="n">
        <v>322</v>
      </c>
      <c r="E30" s="28" t="n">
        <v>3284</v>
      </c>
      <c r="F30" s="42" t="n">
        <v>100</v>
      </c>
      <c r="G30" s="9" t="n">
        <f aca="false">D30*F30</f>
        <v>32200</v>
      </c>
      <c r="H30" s="35" t="n">
        <v>0.5</v>
      </c>
      <c r="I30" s="9" t="n">
        <f aca="false">IF(D30&gt;0,E30*H30,0)</f>
        <v>1642</v>
      </c>
      <c r="J30" s="16" t="s">
        <v>222</v>
      </c>
    </row>
    <row r="31" customFormat="false" ht="15" hidden="false" customHeight="false" outlineLevel="0" collapsed="false">
      <c r="A31" s="22" t="s">
        <v>233</v>
      </c>
      <c r="B31" s="6" t="s">
        <v>223</v>
      </c>
      <c r="C31" s="42" t="n">
        <v>18</v>
      </c>
      <c r="D31" s="43" t="n">
        <v>0</v>
      </c>
      <c r="E31" s="28" t="n">
        <v>309</v>
      </c>
      <c r="F31" s="42" t="n">
        <v>130</v>
      </c>
      <c r="G31" s="9" t="n">
        <f aca="false">D31*F31</f>
        <v>0</v>
      </c>
      <c r="H31" s="35" t="n">
        <v>0.75</v>
      </c>
      <c r="I31" s="9" t="n">
        <f aca="false">IF(D31&gt;0,E31*H31,0)</f>
        <v>0</v>
      </c>
      <c r="J31" s="10" t="s">
        <v>234</v>
      </c>
    </row>
    <row r="32" customFormat="false" ht="15" hidden="false" customHeight="false" outlineLevel="0" collapsed="false">
      <c r="A32" s="22" t="s">
        <v>233</v>
      </c>
      <c r="B32" s="6" t="s">
        <v>224</v>
      </c>
      <c r="C32" s="42" t="n">
        <v>1</v>
      </c>
      <c r="D32" s="43" t="n">
        <v>0</v>
      </c>
      <c r="E32" s="28" t="n">
        <v>1128</v>
      </c>
      <c r="F32" s="42" t="n">
        <v>100</v>
      </c>
      <c r="G32" s="9" t="n">
        <f aca="false">D32*F32</f>
        <v>0</v>
      </c>
      <c r="H32" s="35" t="n">
        <v>0.5</v>
      </c>
      <c r="I32" s="9" t="n">
        <f aca="false">IF(D32&gt;0,E32*H32,0)</f>
        <v>0</v>
      </c>
      <c r="J32" s="10" t="s">
        <v>235</v>
      </c>
    </row>
    <row r="33" customFormat="false" ht="15" hidden="false" customHeight="false" outlineLevel="0" collapsed="false">
      <c r="A33" s="22" t="s">
        <v>236</v>
      </c>
      <c r="B33" s="6" t="s">
        <v>223</v>
      </c>
      <c r="C33" s="42" t="n">
        <v>29</v>
      </c>
      <c r="D33" s="43" t="n">
        <v>0</v>
      </c>
      <c r="E33" s="28" t="n">
        <v>780</v>
      </c>
      <c r="F33" s="42" t="n">
        <v>130</v>
      </c>
      <c r="G33" s="9" t="n">
        <f aca="false">D33*F33</f>
        <v>0</v>
      </c>
      <c r="H33" s="35" t="n">
        <v>0.75</v>
      </c>
      <c r="I33" s="9" t="n">
        <f aca="false">IF(D33&gt;0,E33*H33,0)</f>
        <v>0</v>
      </c>
      <c r="J33" s="10" t="s">
        <v>234</v>
      </c>
    </row>
    <row r="34" customFormat="false" ht="15" hidden="false" customHeight="false" outlineLevel="0" collapsed="false">
      <c r="A34" s="22" t="s">
        <v>236</v>
      </c>
      <c r="B34" s="6" t="s">
        <v>224</v>
      </c>
      <c r="C34" s="42" t="n">
        <v>2</v>
      </c>
      <c r="D34" s="43" t="n">
        <v>0</v>
      </c>
      <c r="E34" s="28" t="n">
        <v>2302</v>
      </c>
      <c r="F34" s="42" t="n">
        <v>100</v>
      </c>
      <c r="G34" s="9" t="n">
        <f aca="false">D34*F34</f>
        <v>0</v>
      </c>
      <c r="H34" s="35" t="n">
        <v>0.5</v>
      </c>
      <c r="I34" s="9" t="n">
        <f aca="false">IF(D34&gt;0,E34*H34,0)</f>
        <v>0</v>
      </c>
      <c r="J34" s="10" t="s">
        <v>235</v>
      </c>
    </row>
    <row r="35" customFormat="false" ht="15" hidden="false" customHeight="false" outlineLevel="0" collapsed="false">
      <c r="A35" s="44" t="s">
        <v>237</v>
      </c>
      <c r="B35" s="11"/>
      <c r="C35" s="11"/>
      <c r="D35" s="45" t="n">
        <f aca="false">SUM(D5:D34)</f>
        <v>2711.9</v>
      </c>
      <c r="E35" s="11"/>
      <c r="F35" s="11"/>
      <c r="G35" s="14" t="n">
        <f aca="false">SUM(G5:G34)</f>
        <v>309447</v>
      </c>
      <c r="H35" s="11"/>
      <c r="I35" s="14" t="n">
        <f aca="false">SUM(I5:I34)</f>
        <v>16095.45</v>
      </c>
      <c r="J35" s="11"/>
    </row>
    <row r="37" customFormat="false" ht="17.15" hidden="false" customHeight="false" outlineLevel="0" collapsed="false">
      <c r="A37" s="27" t="s">
        <v>238</v>
      </c>
    </row>
    <row r="38" customFormat="false" ht="30" hidden="false" customHeight="true" outlineLevel="0" collapsed="false">
      <c r="A38" s="3" t="s">
        <v>64</v>
      </c>
      <c r="B38" s="3" t="s">
        <v>3</v>
      </c>
      <c r="C38" s="3" t="s">
        <v>65</v>
      </c>
      <c r="D38" s="3" t="s">
        <v>66</v>
      </c>
      <c r="E38" s="3" t="s">
        <v>239</v>
      </c>
    </row>
    <row r="39" customFormat="false" ht="15" hidden="false" customHeight="false" outlineLevel="0" collapsed="false">
      <c r="A39" s="5" t="s">
        <v>240</v>
      </c>
      <c r="B39" s="6" t="s">
        <v>241</v>
      </c>
      <c r="C39" s="9" t="n">
        <f aca="false">30*3.5*3.5*0.9</f>
        <v>330.75</v>
      </c>
      <c r="D39" s="22" t="s">
        <v>242</v>
      </c>
      <c r="E39" s="16" t="s">
        <v>243</v>
      </c>
    </row>
    <row r="40" customFormat="false" ht="15" hidden="false" customHeight="false" outlineLevel="0" collapsed="false">
      <c r="A40" s="5" t="s">
        <v>244</v>
      </c>
      <c r="B40" s="6" t="s">
        <v>245</v>
      </c>
      <c r="C40" s="9" t="n">
        <f aca="false">30*4.5*4.5*2+560*3</f>
        <v>2895</v>
      </c>
      <c r="D40" s="22" t="s">
        <v>242</v>
      </c>
      <c r="E40" s="10" t="s">
        <v>246</v>
      </c>
    </row>
    <row r="41" customFormat="false" ht="15" hidden="false" customHeight="false" outlineLevel="0" collapsed="false">
      <c r="A41" s="5" t="s">
        <v>247</v>
      </c>
      <c r="B41" s="6" t="s">
        <v>248</v>
      </c>
      <c r="C41" s="9" t="n">
        <f aca="false">(769+571)*0.25</f>
        <v>335</v>
      </c>
      <c r="D41" s="22" t="s">
        <v>242</v>
      </c>
      <c r="E41" s="16" t="s">
        <v>249</v>
      </c>
    </row>
    <row r="42" customFormat="false" ht="15" hidden="false" customHeight="false" outlineLevel="0" collapsed="false">
      <c r="A42" s="5" t="s">
        <v>250</v>
      </c>
      <c r="B42" s="6" t="s">
        <v>251</v>
      </c>
      <c r="C42" s="9" t="n">
        <f aca="false">(769+571)*1.6</f>
        <v>2144</v>
      </c>
      <c r="D42" s="22" t="s">
        <v>252</v>
      </c>
      <c r="E42" s="10" t="s">
        <v>253</v>
      </c>
    </row>
    <row r="43" customFormat="false" ht="15" hidden="false" customHeight="false" outlineLevel="0" collapsed="false">
      <c r="A43" s="5" t="s">
        <v>254</v>
      </c>
      <c r="B43" s="22" t="s">
        <v>255</v>
      </c>
      <c r="C43" s="9" t="n">
        <f aca="false">23.2*73.4</f>
        <v>1702.88</v>
      </c>
      <c r="D43" s="22" t="s">
        <v>252</v>
      </c>
      <c r="E43" s="10" t="s">
        <v>256</v>
      </c>
    </row>
    <row r="44" customFormat="false" ht="15" hidden="false" customHeight="false" outlineLevel="0" collapsed="false">
      <c r="A44" s="5" t="s">
        <v>257</v>
      </c>
      <c r="B44" s="6" t="s">
        <v>258</v>
      </c>
      <c r="C44" s="9" t="n">
        <f aca="false">2*(23.2+73.4)</f>
        <v>193.2</v>
      </c>
      <c r="D44" s="22" t="s">
        <v>259</v>
      </c>
      <c r="E44" s="16" t="s">
        <v>260</v>
      </c>
    </row>
    <row r="45" customFormat="false" ht="15" hidden="false" customHeight="false" outlineLevel="0" collapsed="false">
      <c r="A45" s="5" t="s">
        <v>261</v>
      </c>
      <c r="B45" s="22" t="s">
        <v>262</v>
      </c>
      <c r="C45" s="9" t="n">
        <f aca="false">C44*15.2*0.88</f>
        <v>2584.2432</v>
      </c>
      <c r="D45" s="22" t="s">
        <v>252</v>
      </c>
      <c r="E45" s="10" t="s">
        <v>263</v>
      </c>
    </row>
    <row r="46" customFormat="false" ht="15" hidden="false" customHeight="false" outlineLevel="0" collapsed="false">
      <c r="A46" s="5" t="s">
        <v>264</v>
      </c>
      <c r="B46" s="22" t="s">
        <v>265</v>
      </c>
      <c r="C46" s="9" t="n">
        <f aca="false">C44*6</f>
        <v>1159.2</v>
      </c>
      <c r="D46" s="22" t="s">
        <v>252</v>
      </c>
      <c r="E46" s="10" t="s">
        <v>266</v>
      </c>
    </row>
    <row r="47" customFormat="false" ht="15" hidden="false" customHeight="false" outlineLevel="0" collapsed="false">
      <c r="A47" s="5" t="s">
        <v>267</v>
      </c>
      <c r="B47" s="6" t="s">
        <v>268</v>
      </c>
      <c r="C47" s="9" t="n">
        <f aca="false">23.7*75.1*1.03</f>
        <v>1833.2661</v>
      </c>
      <c r="D47" s="22" t="s">
        <v>252</v>
      </c>
      <c r="E47" s="10" t="s">
        <v>269</v>
      </c>
    </row>
    <row r="48" customFormat="false" ht="15" hidden="false" customHeight="false" outlineLevel="0" collapsed="false">
      <c r="A48" s="5" t="s">
        <v>270</v>
      </c>
      <c r="B48" s="6" t="s">
        <v>271</v>
      </c>
      <c r="C48" s="9" t="n">
        <f aca="false">1350</f>
        <v>1350</v>
      </c>
      <c r="D48" s="22" t="s">
        <v>252</v>
      </c>
      <c r="E48" s="16" t="s">
        <v>272</v>
      </c>
    </row>
    <row r="49" customFormat="false" ht="15" hidden="false" customHeight="false" outlineLevel="0" collapsed="false">
      <c r="A49" s="5" t="s">
        <v>273</v>
      </c>
      <c r="B49" s="6" t="s">
        <v>274</v>
      </c>
      <c r="C49" s="9" t="n">
        <f aca="false">9040</f>
        <v>9040</v>
      </c>
      <c r="D49" s="22" t="s">
        <v>252</v>
      </c>
      <c r="E49" s="16" t="s">
        <v>275</v>
      </c>
    </row>
    <row r="50" customFormat="false" ht="15" hidden="false" customHeight="false" outlineLevel="0" collapsed="false">
      <c r="A50" s="5" t="s">
        <v>276</v>
      </c>
      <c r="B50" s="6" t="s">
        <v>277</v>
      </c>
      <c r="C50" s="9" t="n">
        <f aca="false">60</f>
        <v>60</v>
      </c>
      <c r="D50" s="6" t="s">
        <v>278</v>
      </c>
      <c r="E50" s="16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41" t="s">
        <v>280</v>
      </c>
    </row>
    <row r="2" customFormat="false" ht="15" hidden="false" customHeight="false" outlineLevel="0" collapsed="false">
      <c r="A2" s="2" t="s">
        <v>281</v>
      </c>
    </row>
    <row r="4" customFormat="false" ht="30" hidden="false" customHeight="true" outlineLevel="0" collapsed="false">
      <c r="A4" s="3" t="s">
        <v>2</v>
      </c>
      <c r="B4" s="3" t="s">
        <v>282</v>
      </c>
      <c r="C4" s="3" t="s">
        <v>283</v>
      </c>
      <c r="D4" s="3" t="s">
        <v>66</v>
      </c>
      <c r="E4" s="3" t="s">
        <v>284</v>
      </c>
      <c r="F4" s="3" t="s">
        <v>4</v>
      </c>
      <c r="G4" s="3" t="s">
        <v>285</v>
      </c>
    </row>
    <row r="5" customFormat="false" ht="15" hidden="false" customHeight="false" outlineLevel="0" collapsed="false">
      <c r="A5" s="46" t="n">
        <v>1</v>
      </c>
      <c r="B5" s="47" t="s">
        <v>286</v>
      </c>
      <c r="C5" s="48"/>
      <c r="D5" s="48"/>
      <c r="E5" s="48"/>
      <c r="F5" s="48"/>
      <c r="G5" s="48"/>
    </row>
    <row r="6" customFormat="false" ht="15" hidden="false" customHeight="false" outlineLevel="0" collapsed="false">
      <c r="A6" s="22" t="s">
        <v>287</v>
      </c>
      <c r="B6" s="6" t="s">
        <v>288</v>
      </c>
      <c r="C6" s="49" t="n">
        <f aca="false">'數量計算-原絲廠房'!$C$40</f>
        <v>2895</v>
      </c>
      <c r="D6" s="22" t="s">
        <v>242</v>
      </c>
      <c r="E6" s="50" t="n">
        <f aca="false">假設與單價!$C$12</f>
        <v>9</v>
      </c>
      <c r="F6" s="8" t="n">
        <f aca="false">C6*E6</f>
        <v>26055</v>
      </c>
      <c r="G6" s="36" t="s">
        <v>289</v>
      </c>
    </row>
    <row r="7" customFormat="false" ht="15" hidden="false" customHeight="false" outlineLevel="0" collapsed="false">
      <c r="A7" s="22" t="s">
        <v>290</v>
      </c>
      <c r="B7" s="6" t="s">
        <v>291</v>
      </c>
      <c r="C7" s="49" t="n">
        <f aca="false">(30*4.5*4.5+560)*0.1</f>
        <v>116.75</v>
      </c>
      <c r="D7" s="22" t="s">
        <v>242</v>
      </c>
      <c r="E7" s="50" t="n">
        <f aca="false">假設與單價!$C$13</f>
        <v>95</v>
      </c>
      <c r="F7" s="8" t="n">
        <f aca="false">C7*E7</f>
        <v>11091.25</v>
      </c>
      <c r="G7" s="36" t="s">
        <v>292</v>
      </c>
    </row>
    <row r="8" customFormat="false" ht="15" hidden="false" customHeight="false" outlineLevel="0" collapsed="false">
      <c r="A8" s="22" t="s">
        <v>293</v>
      </c>
      <c r="B8" s="6" t="s">
        <v>294</v>
      </c>
      <c r="C8" s="49" t="n">
        <f aca="false">'數量計算-原絲廠房'!$C$39</f>
        <v>330.75</v>
      </c>
      <c r="D8" s="22" t="s">
        <v>242</v>
      </c>
      <c r="E8" s="50" t="n">
        <f aca="false">假設與單價!$C$8</f>
        <v>186.827703340253</v>
      </c>
      <c r="F8" s="8" t="n">
        <f aca="false">C8*E8</f>
        <v>61793.2628797887</v>
      </c>
      <c r="G8" s="36" t="s">
        <v>295</v>
      </c>
    </row>
    <row r="9" customFormat="false" ht="15" hidden="false" customHeight="false" outlineLevel="0" collapsed="false">
      <c r="A9" s="22" t="s">
        <v>296</v>
      </c>
      <c r="B9" s="6" t="s">
        <v>297</v>
      </c>
      <c r="C9" s="49" t="n">
        <f aca="false">'數量計算-原絲廠房'!$C$39*60</f>
        <v>19845</v>
      </c>
      <c r="D9" s="22" t="s">
        <v>298</v>
      </c>
      <c r="E9" s="50" t="n">
        <f aca="false">假設與單價!$C$9</f>
        <v>1.62918205591351</v>
      </c>
      <c r="F9" s="8" t="n">
        <f aca="false">C9*E9</f>
        <v>32331.1178996037</v>
      </c>
      <c r="G9" s="36" t="s">
        <v>299</v>
      </c>
    </row>
    <row r="10" customFormat="false" ht="15" hidden="false" customHeight="false" outlineLevel="0" collapsed="false">
      <c r="A10" s="22" t="s">
        <v>300</v>
      </c>
      <c r="B10" s="6" t="s">
        <v>301</v>
      </c>
      <c r="C10" s="49" t="n">
        <f aca="false">30*4*3.5*0.9</f>
        <v>378</v>
      </c>
      <c r="D10" s="22" t="s">
        <v>252</v>
      </c>
      <c r="E10" s="50" t="n">
        <f aca="false">假設與單價!$C$10</f>
        <v>26</v>
      </c>
      <c r="F10" s="8" t="n">
        <f aca="false">C10*E10</f>
        <v>9828</v>
      </c>
      <c r="G10" s="36" t="s">
        <v>302</v>
      </c>
    </row>
    <row r="11" customFormat="false" ht="15" hidden="false" customHeight="false" outlineLevel="0" collapsed="false">
      <c r="A11" s="22" t="s">
        <v>303</v>
      </c>
      <c r="B11" s="6" t="s">
        <v>304</v>
      </c>
      <c r="C11" s="49" t="n">
        <f aca="false">30.9+42.1</f>
        <v>73</v>
      </c>
      <c r="D11" s="22" t="s">
        <v>242</v>
      </c>
      <c r="E11" s="50" t="n">
        <f aca="false">假設與單價!$C$8</f>
        <v>186.827703340253</v>
      </c>
      <c r="F11" s="8" t="n">
        <f aca="false">C11*E11</f>
        <v>13638.4223438385</v>
      </c>
      <c r="G11" s="34" t="s">
        <v>305</v>
      </c>
    </row>
    <row r="12" customFormat="false" ht="15" hidden="false" customHeight="false" outlineLevel="0" collapsed="false">
      <c r="A12" s="22" t="s">
        <v>306</v>
      </c>
      <c r="B12" s="6" t="s">
        <v>307</v>
      </c>
      <c r="C12" s="49" t="n">
        <f aca="false">(30.9+42.1)*140</f>
        <v>10220</v>
      </c>
      <c r="D12" s="22" t="s">
        <v>298</v>
      </c>
      <c r="E12" s="50" t="n">
        <f aca="false">假設與單價!$C$9</f>
        <v>1.62918205591351</v>
      </c>
      <c r="F12" s="8" t="n">
        <f aca="false">C12*E12</f>
        <v>16650.2406114361</v>
      </c>
      <c r="G12" s="36"/>
    </row>
    <row r="13" customFormat="false" ht="15" hidden="false" customHeight="false" outlineLevel="0" collapsed="false">
      <c r="A13" s="22" t="s">
        <v>308</v>
      </c>
      <c r="B13" s="6" t="s">
        <v>309</v>
      </c>
      <c r="C13" s="49" t="n">
        <f aca="false">471*0.75+302*0.95</f>
        <v>640.15</v>
      </c>
      <c r="D13" s="22" t="s">
        <v>252</v>
      </c>
      <c r="E13" s="50" t="n">
        <f aca="false">假設與單價!$C$10</f>
        <v>26</v>
      </c>
      <c r="F13" s="8" t="n">
        <f aca="false">C13*E13</f>
        <v>16643.9</v>
      </c>
      <c r="G13" s="34" t="s">
        <v>310</v>
      </c>
    </row>
    <row r="14" customFormat="false" ht="15" hidden="false" customHeight="false" outlineLevel="0" collapsed="false">
      <c r="A14" s="22" t="s">
        <v>311</v>
      </c>
      <c r="B14" s="6" t="s">
        <v>312</v>
      </c>
      <c r="C14" s="49" t="n">
        <f aca="false">'數量計算-原絲廠房'!$C$41</f>
        <v>335</v>
      </c>
      <c r="D14" s="22" t="s">
        <v>242</v>
      </c>
      <c r="E14" s="50" t="n">
        <f aca="false">假設與單價!$C$8</f>
        <v>186.827703340253</v>
      </c>
      <c r="F14" s="8" t="n">
        <f aca="false">C14*E14</f>
        <v>62587.2806189847</v>
      </c>
      <c r="G14" s="34" t="s">
        <v>313</v>
      </c>
    </row>
    <row r="15" customFormat="false" ht="15" hidden="false" customHeight="false" outlineLevel="0" collapsed="false">
      <c r="A15" s="22" t="s">
        <v>314</v>
      </c>
      <c r="B15" s="6" t="s">
        <v>315</v>
      </c>
      <c r="C15" s="49" t="n">
        <f aca="false">'數量計算-原絲廠房'!$C$41*90</f>
        <v>30150</v>
      </c>
      <c r="D15" s="22" t="s">
        <v>298</v>
      </c>
      <c r="E15" s="50" t="n">
        <f aca="false">假設與單價!$C$9</f>
        <v>1.62918205591351</v>
      </c>
      <c r="F15" s="8" t="n">
        <f aca="false">C15*E15</f>
        <v>49119.8389857925</v>
      </c>
      <c r="G15" s="36"/>
    </row>
    <row r="16" customFormat="false" ht="15" hidden="false" customHeight="false" outlineLevel="0" collapsed="false">
      <c r="A16" s="22" t="s">
        <v>316</v>
      </c>
      <c r="B16" s="6" t="s">
        <v>251</v>
      </c>
      <c r="C16" s="49" t="n">
        <f aca="false">'數量計算-原絲廠房'!$C$42</f>
        <v>2144</v>
      </c>
      <c r="D16" s="22" t="s">
        <v>252</v>
      </c>
      <c r="E16" s="50" t="n">
        <f aca="false">假設與單價!$C$10</f>
        <v>26</v>
      </c>
      <c r="F16" s="8" t="n">
        <f aca="false">C16*E16</f>
        <v>55744</v>
      </c>
      <c r="G16" s="36"/>
    </row>
    <row r="17" customFormat="false" ht="15" hidden="false" customHeight="false" outlineLevel="0" collapsed="false">
      <c r="A17" s="22" t="s">
        <v>317</v>
      </c>
      <c r="B17" s="6" t="s">
        <v>318</v>
      </c>
      <c r="C17" s="49" t="n">
        <f aca="false">769+571</f>
        <v>1340</v>
      </c>
      <c r="D17" s="22" t="s">
        <v>252</v>
      </c>
      <c r="E17" s="51" t="n">
        <v>9</v>
      </c>
      <c r="F17" s="8" t="n">
        <f aca="false">C17*E17</f>
        <v>12060</v>
      </c>
      <c r="G17" s="36" t="s">
        <v>319</v>
      </c>
    </row>
    <row r="18" customFormat="false" ht="15" hidden="false" customHeight="false" outlineLevel="0" collapsed="false">
      <c r="A18" s="11"/>
      <c r="B18" s="12" t="s">
        <v>320</v>
      </c>
      <c r="C18" s="11"/>
      <c r="D18" s="11"/>
      <c r="E18" s="11"/>
      <c r="F18" s="13" t="n">
        <f aca="false">SUM(F6:F17)</f>
        <v>367542.313339444</v>
      </c>
      <c r="G18" s="11"/>
    </row>
    <row r="20" customFormat="false" ht="15" hidden="false" customHeight="false" outlineLevel="0" collapsed="false">
      <c r="A20" s="46" t="n">
        <v>2</v>
      </c>
      <c r="B20" s="47" t="s">
        <v>321</v>
      </c>
      <c r="C20" s="48"/>
      <c r="D20" s="48"/>
      <c r="E20" s="48"/>
      <c r="F20" s="48"/>
      <c r="G20" s="48"/>
    </row>
    <row r="21" customFormat="false" ht="15" hidden="false" customHeight="false" outlineLevel="0" collapsed="false">
      <c r="A21" s="22" t="s">
        <v>322</v>
      </c>
      <c r="B21" s="6" t="s">
        <v>323</v>
      </c>
      <c r="C21" s="49" t="n">
        <f aca="false">'數量計算-原絲廠房'!$D$35-30.9-42.1-34.6</f>
        <v>2604.3</v>
      </c>
      <c r="D21" s="22" t="s">
        <v>242</v>
      </c>
      <c r="E21" s="50" t="n">
        <f aca="false">假設與單價!$C$8</f>
        <v>186.827703340253</v>
      </c>
      <c r="F21" s="8" t="n">
        <f aca="false">C21*E21</f>
        <v>486555.387809021</v>
      </c>
      <c r="G21" s="36" t="s">
        <v>324</v>
      </c>
    </row>
    <row r="22" customFormat="false" ht="15" hidden="false" customHeight="false" outlineLevel="0" collapsed="false">
      <c r="A22" s="22" t="s">
        <v>325</v>
      </c>
      <c r="B22" s="6" t="s">
        <v>326</v>
      </c>
      <c r="C22" s="49" t="n">
        <f aca="false">'數量計算-原絲廠房'!$G$35-(30.9*130+42.1*150+34.6*100)</f>
        <v>295655</v>
      </c>
      <c r="D22" s="22" t="s">
        <v>298</v>
      </c>
      <c r="E22" s="50" t="n">
        <f aca="false">假設與單價!$C$9</f>
        <v>1.62918205591351</v>
      </c>
      <c r="F22" s="8" t="n">
        <f aca="false">C22*E22</f>
        <v>481675.82074111</v>
      </c>
      <c r="G22" s="36" t="s">
        <v>327</v>
      </c>
    </row>
    <row r="23" customFormat="false" ht="15" hidden="false" customHeight="false" outlineLevel="0" collapsed="false">
      <c r="A23" s="22" t="s">
        <v>328</v>
      </c>
      <c r="B23" s="6" t="s">
        <v>329</v>
      </c>
      <c r="C23" s="49" t="n">
        <f aca="false">SUMPRODUCT(('數量計算-原絲廠房'!B5:B34="柱")+('數量計算-原絲廠房'!B5:B34="樑"),'數量計算-原絲廠房'!I5:I34)-471*0.75-302*0.95</f>
        <v>6961.4</v>
      </c>
      <c r="D23" s="22" t="s">
        <v>252</v>
      </c>
      <c r="E23" s="50" t="n">
        <f aca="false">假設與單價!$C$10</f>
        <v>26</v>
      </c>
      <c r="F23" s="8" t="n">
        <f aca="false">C23*E23</f>
        <v>180996.4</v>
      </c>
      <c r="G23" s="36" t="s">
        <v>330</v>
      </c>
    </row>
    <row r="24" customFormat="false" ht="15" hidden="false" customHeight="false" outlineLevel="0" collapsed="false">
      <c r="A24" s="22" t="s">
        <v>331</v>
      </c>
      <c r="B24" s="6" t="s">
        <v>332</v>
      </c>
      <c r="C24" s="49" t="n">
        <f aca="false">SUMPRODUCT(('數量計算-原絲廠房'!B5:B34="樓板")+('數量計算-原絲廠房'!B5:B34="樓梯")+('數量計算-原絲廠房'!B5:B34="RC 牆（樓梯間）"),'數量計算-原絲廠房'!I5:I34)-202*0.5</f>
        <v>8392.9</v>
      </c>
      <c r="D24" s="22" t="s">
        <v>252</v>
      </c>
      <c r="E24" s="50" t="n">
        <f aca="false">假設與單價!$C$11</f>
        <v>22</v>
      </c>
      <c r="F24" s="8" t="n">
        <f aca="false">C24*E24</f>
        <v>184643.8</v>
      </c>
      <c r="G24" s="36" t="s">
        <v>333</v>
      </c>
    </row>
    <row r="25" customFormat="false" ht="15" hidden="false" customHeight="false" outlineLevel="0" collapsed="false">
      <c r="A25" s="22" t="s">
        <v>334</v>
      </c>
      <c r="B25" s="6" t="s">
        <v>335</v>
      </c>
      <c r="C25" s="49" t="n">
        <f aca="false">'數量計算-原絲廠房'!$C$50</f>
        <v>60</v>
      </c>
      <c r="D25" s="6" t="s">
        <v>278</v>
      </c>
      <c r="E25" s="51" t="n">
        <v>260</v>
      </c>
      <c r="F25" s="8" t="n">
        <f aca="false">C25*E25</f>
        <v>15600</v>
      </c>
      <c r="G25" s="34" t="s">
        <v>336</v>
      </c>
    </row>
    <row r="26" customFormat="false" ht="15" hidden="false" customHeight="false" outlineLevel="0" collapsed="false">
      <c r="A26" s="22" t="s">
        <v>337</v>
      </c>
      <c r="B26" s="22" t="s">
        <v>338</v>
      </c>
      <c r="C26" s="49" t="n">
        <f aca="false">3.8*8*0.02*7850</f>
        <v>4772.8</v>
      </c>
      <c r="D26" s="22" t="s">
        <v>298</v>
      </c>
      <c r="E26" s="51" t="n">
        <v>2.6</v>
      </c>
      <c r="F26" s="8" t="n">
        <f aca="false">C26*E26</f>
        <v>12409.28</v>
      </c>
      <c r="G26" s="36" t="s">
        <v>339</v>
      </c>
    </row>
    <row r="27" customFormat="false" ht="15" hidden="false" customHeight="false" outlineLevel="0" collapsed="false">
      <c r="A27" s="22" t="s">
        <v>340</v>
      </c>
      <c r="B27" s="22" t="s">
        <v>341</v>
      </c>
      <c r="C27" s="49" t="n">
        <f aca="false">2*73</f>
        <v>146</v>
      </c>
      <c r="D27" s="22" t="s">
        <v>259</v>
      </c>
      <c r="E27" s="51" t="n">
        <v>320</v>
      </c>
      <c r="F27" s="8" t="n">
        <f aca="false">C27*E27</f>
        <v>46720</v>
      </c>
      <c r="G27" s="36" t="s">
        <v>342</v>
      </c>
    </row>
    <row r="28" customFormat="false" ht="15" hidden="false" customHeight="false" outlineLevel="0" collapsed="false">
      <c r="A28" s="22" t="s">
        <v>343</v>
      </c>
      <c r="B28" s="22" t="s">
        <v>344</v>
      </c>
      <c r="C28" s="49" t="n">
        <f aca="false">'數量計算-原絲廠房'!$C$43</f>
        <v>1702.88</v>
      </c>
      <c r="D28" s="22" t="s">
        <v>252</v>
      </c>
      <c r="E28" s="50" t="n">
        <f aca="false">假設與單價!$C$14*0.35</f>
        <v>21.7804125778449</v>
      </c>
      <c r="F28" s="8" t="n">
        <f aca="false">C28*E28</f>
        <v>37089.4289705605</v>
      </c>
      <c r="G28" s="36" t="s">
        <v>345</v>
      </c>
    </row>
    <row r="29" customFormat="false" ht="15" hidden="false" customHeight="false" outlineLevel="0" collapsed="false">
      <c r="A29" s="11"/>
      <c r="B29" s="12" t="s">
        <v>346</v>
      </c>
      <c r="C29" s="11"/>
      <c r="D29" s="11"/>
      <c r="E29" s="11"/>
      <c r="F29" s="13" t="n">
        <f aca="false">SUM(F21:F28)</f>
        <v>1445690.11752069</v>
      </c>
      <c r="G29" s="11"/>
    </row>
    <row r="31" customFormat="false" ht="15" hidden="false" customHeight="false" outlineLevel="0" collapsed="false">
      <c r="A31" s="46" t="n">
        <v>3</v>
      </c>
      <c r="B31" s="47" t="s">
        <v>347</v>
      </c>
      <c r="C31" s="48"/>
      <c r="D31" s="48"/>
      <c r="E31" s="48"/>
      <c r="F31" s="48"/>
      <c r="G31" s="48"/>
    </row>
    <row r="32" customFormat="false" ht="15" hidden="false" customHeight="false" outlineLevel="0" collapsed="false">
      <c r="A32" s="22" t="s">
        <v>348</v>
      </c>
      <c r="B32" s="22" t="s">
        <v>349</v>
      </c>
      <c r="C32" s="49" t="n">
        <f aca="false">'數量計算-原絲廠房'!$C$45</f>
        <v>2584.2432</v>
      </c>
      <c r="D32" s="22" t="s">
        <v>252</v>
      </c>
      <c r="E32" s="50" t="n">
        <f aca="false">假設與單價!$C$15</f>
        <v>115.432453562667</v>
      </c>
      <c r="F32" s="8" t="n">
        <f aca="false">C32*E32</f>
        <v>298305.533178638</v>
      </c>
      <c r="G32" s="36" t="s">
        <v>350</v>
      </c>
    </row>
    <row r="33" customFormat="false" ht="15" hidden="false" customHeight="false" outlineLevel="0" collapsed="false">
      <c r="A33" s="22" t="s">
        <v>351</v>
      </c>
      <c r="B33" s="22" t="s">
        <v>352</v>
      </c>
      <c r="C33" s="49" t="n">
        <f aca="false">'數量計算-原絲廠房'!$C$45</f>
        <v>2584.2432</v>
      </c>
      <c r="D33" s="22" t="s">
        <v>252</v>
      </c>
      <c r="E33" s="51" t="n">
        <v>13</v>
      </c>
      <c r="F33" s="8" t="n">
        <f aca="false">C33*E33</f>
        <v>33595.1616</v>
      </c>
      <c r="G33" s="36" t="s">
        <v>353</v>
      </c>
    </row>
    <row r="34" customFormat="false" ht="15" hidden="false" customHeight="false" outlineLevel="0" collapsed="false">
      <c r="A34" s="22" t="s">
        <v>354</v>
      </c>
      <c r="B34" s="22" t="s">
        <v>355</v>
      </c>
      <c r="C34" s="49" t="n">
        <f aca="false">'數量計算-原絲廠房'!$C$45</f>
        <v>2584.2432</v>
      </c>
      <c r="D34" s="22" t="s">
        <v>252</v>
      </c>
      <c r="E34" s="50" t="n">
        <f aca="false">假設與單價!$C$17</f>
        <v>11</v>
      </c>
      <c r="F34" s="8" t="n">
        <f aca="false">C34*E34</f>
        <v>28426.6752</v>
      </c>
      <c r="G34" s="36"/>
    </row>
    <row r="35" customFormat="false" ht="15" hidden="false" customHeight="false" outlineLevel="0" collapsed="false">
      <c r="A35" s="22" t="s">
        <v>356</v>
      </c>
      <c r="B35" s="22" t="s">
        <v>357</v>
      </c>
      <c r="C35" s="49" t="n">
        <f aca="false">'數量計算-原絲廠房'!$C$46</f>
        <v>1159.2</v>
      </c>
      <c r="D35" s="22" t="s">
        <v>252</v>
      </c>
      <c r="E35" s="50" t="n">
        <f aca="false">假設與單價!$C$19</f>
        <v>42</v>
      </c>
      <c r="F35" s="8" t="n">
        <f aca="false">C35*E35</f>
        <v>48686.4</v>
      </c>
      <c r="G35" s="36" t="s">
        <v>358</v>
      </c>
    </row>
    <row r="36" customFormat="false" ht="15" hidden="false" customHeight="false" outlineLevel="0" collapsed="false">
      <c r="A36" s="22" t="s">
        <v>359</v>
      </c>
      <c r="B36" s="6" t="s">
        <v>360</v>
      </c>
      <c r="C36" s="49" t="n">
        <f aca="false">'數量計算-原絲廠房'!$C$47</f>
        <v>1833.2661</v>
      </c>
      <c r="D36" s="22" t="s">
        <v>252</v>
      </c>
      <c r="E36" s="50" t="n">
        <f aca="false">假設與單價!$C$18</f>
        <v>81.5443614698191</v>
      </c>
      <c r="F36" s="8" t="n">
        <f aca="false">C36*E36</f>
        <v>149492.513528766</v>
      </c>
      <c r="G36" s="36" t="s">
        <v>361</v>
      </c>
    </row>
    <row r="37" customFormat="false" ht="15" hidden="false" customHeight="false" outlineLevel="0" collapsed="false">
      <c r="A37" s="22" t="s">
        <v>362</v>
      </c>
      <c r="B37" s="6" t="s">
        <v>363</v>
      </c>
      <c r="C37" s="49" t="n">
        <f aca="false">'數量計算-原絲廠房'!$C$47</f>
        <v>1833.2661</v>
      </c>
      <c r="D37" s="22" t="s">
        <v>252</v>
      </c>
      <c r="E37" s="51" t="n">
        <v>18</v>
      </c>
      <c r="F37" s="8" t="n">
        <f aca="false">C37*E37</f>
        <v>32998.7898</v>
      </c>
      <c r="G37" s="36" t="s">
        <v>364</v>
      </c>
    </row>
    <row r="38" customFormat="false" ht="15" hidden="false" customHeight="false" outlineLevel="0" collapsed="false">
      <c r="A38" s="22" t="s">
        <v>365</v>
      </c>
      <c r="B38" s="6" t="s">
        <v>366</v>
      </c>
      <c r="C38" s="49" t="n">
        <f aca="false">6</f>
        <v>6</v>
      </c>
      <c r="D38" s="6" t="s">
        <v>367</v>
      </c>
      <c r="E38" s="50" t="n">
        <f aca="false">假設與單價!$C$26</f>
        <v>4200</v>
      </c>
      <c r="F38" s="8" t="n">
        <f aca="false">C38*E38</f>
        <v>25200</v>
      </c>
      <c r="G38" s="34" t="s">
        <v>368</v>
      </c>
    </row>
    <row r="39" customFormat="false" ht="15" hidden="false" customHeight="false" outlineLevel="0" collapsed="false">
      <c r="A39" s="22" t="s">
        <v>369</v>
      </c>
      <c r="B39" s="6" t="s">
        <v>370</v>
      </c>
      <c r="C39" s="49" t="n">
        <f aca="false">4</f>
        <v>4</v>
      </c>
      <c r="D39" s="6" t="s">
        <v>367</v>
      </c>
      <c r="E39" s="50" t="n">
        <f aca="false">假設與單價!$C$27</f>
        <v>9500</v>
      </c>
      <c r="F39" s="8" t="n">
        <f aca="false">C39*E39</f>
        <v>38000</v>
      </c>
      <c r="G39" s="34" t="s">
        <v>371</v>
      </c>
    </row>
    <row r="40" customFormat="false" ht="15" hidden="false" customHeight="false" outlineLevel="0" collapsed="false">
      <c r="A40" s="22" t="s">
        <v>372</v>
      </c>
      <c r="B40" s="6" t="s">
        <v>373</v>
      </c>
      <c r="C40" s="49" t="n">
        <f aca="false">1</f>
        <v>1</v>
      </c>
      <c r="D40" s="6" t="s">
        <v>374</v>
      </c>
      <c r="E40" s="51" t="n">
        <v>38000</v>
      </c>
      <c r="F40" s="8" t="n">
        <f aca="false">C40*E40</f>
        <v>38000</v>
      </c>
      <c r="G40" s="34" t="s">
        <v>375</v>
      </c>
    </row>
    <row r="41" customFormat="false" ht="15" hidden="false" customHeight="false" outlineLevel="0" collapsed="false">
      <c r="A41" s="11"/>
      <c r="B41" s="12" t="s">
        <v>376</v>
      </c>
      <c r="C41" s="11"/>
      <c r="D41" s="11"/>
      <c r="E41" s="11"/>
      <c r="F41" s="13" t="n">
        <f aca="false">SUM(F32:F40)</f>
        <v>692705.073307403</v>
      </c>
      <c r="G41" s="11"/>
    </row>
    <row r="43" customFormat="false" ht="15" hidden="false" customHeight="false" outlineLevel="0" collapsed="false">
      <c r="A43" s="46" t="n">
        <v>4</v>
      </c>
      <c r="B43" s="47" t="s">
        <v>377</v>
      </c>
      <c r="C43" s="48"/>
      <c r="D43" s="48"/>
      <c r="E43" s="48"/>
      <c r="F43" s="48"/>
      <c r="G43" s="48"/>
    </row>
    <row r="44" customFormat="false" ht="15" hidden="false" customHeight="false" outlineLevel="0" collapsed="false">
      <c r="A44" s="22" t="s">
        <v>378</v>
      </c>
      <c r="B44" s="6" t="s">
        <v>379</v>
      </c>
      <c r="C44" s="49" t="n">
        <f aca="false">'數量計算-原絲廠房'!$C$48</f>
        <v>1350</v>
      </c>
      <c r="D44" s="22" t="s">
        <v>252</v>
      </c>
      <c r="E44" s="50" t="n">
        <f aca="false">假設與單價!$C$16</f>
        <v>37.5140575715095</v>
      </c>
      <c r="F44" s="8" t="n">
        <f aca="false">C44*E44</f>
        <v>50643.9777215378</v>
      </c>
      <c r="G44" s="34" t="s">
        <v>380</v>
      </c>
    </row>
    <row r="45" customFormat="false" ht="15" hidden="false" customHeight="false" outlineLevel="0" collapsed="false">
      <c r="A45" s="22" t="s">
        <v>381</v>
      </c>
      <c r="B45" s="6" t="s">
        <v>382</v>
      </c>
      <c r="C45" s="49" t="n">
        <f aca="false">'數量計算-原絲廠房'!$C$48*2</f>
        <v>2700</v>
      </c>
      <c r="D45" s="22" t="s">
        <v>252</v>
      </c>
      <c r="E45" s="50" t="n">
        <f aca="false">假設與單價!$C$17</f>
        <v>11</v>
      </c>
      <c r="F45" s="8" t="n">
        <f aca="false">C45*E45</f>
        <v>29700</v>
      </c>
      <c r="G45" s="36"/>
    </row>
    <row r="46" customFormat="false" ht="15" hidden="false" customHeight="false" outlineLevel="0" collapsed="false">
      <c r="A46" s="22" t="s">
        <v>383</v>
      </c>
      <c r="B46" s="6" t="s">
        <v>384</v>
      </c>
      <c r="C46" s="49" t="n">
        <f aca="false">1272+1520+1610</f>
        <v>4402</v>
      </c>
      <c r="D46" s="22" t="s">
        <v>252</v>
      </c>
      <c r="E46" s="51" t="n">
        <v>16</v>
      </c>
      <c r="F46" s="8" t="n">
        <f aca="false">C46*E46</f>
        <v>70432</v>
      </c>
      <c r="G46" s="34" t="s">
        <v>385</v>
      </c>
    </row>
    <row r="47" customFormat="false" ht="15" hidden="false" customHeight="false" outlineLevel="0" collapsed="false">
      <c r="A47" s="22" t="s">
        <v>386</v>
      </c>
      <c r="B47" s="6" t="s">
        <v>387</v>
      </c>
      <c r="C47" s="49" t="n">
        <f aca="false">8</f>
        <v>8</v>
      </c>
      <c r="D47" s="6" t="s">
        <v>388</v>
      </c>
      <c r="E47" s="50" t="n">
        <f aca="false">假設與單價!$C$28</f>
        <v>6500</v>
      </c>
      <c r="F47" s="8" t="n">
        <f aca="false">C47*E47</f>
        <v>52000</v>
      </c>
      <c r="G47" s="34" t="s">
        <v>389</v>
      </c>
    </row>
    <row r="48" customFormat="false" ht="15" hidden="false" customHeight="false" outlineLevel="0" collapsed="false">
      <c r="A48" s="22" t="s">
        <v>390</v>
      </c>
      <c r="B48" s="6" t="s">
        <v>391</v>
      </c>
      <c r="C48" s="49" t="n">
        <f aca="false">350</f>
        <v>350</v>
      </c>
      <c r="D48" s="22" t="s">
        <v>252</v>
      </c>
      <c r="E48" s="51" t="n">
        <v>45</v>
      </c>
      <c r="F48" s="8" t="n">
        <f aca="false">C48*E48</f>
        <v>15750</v>
      </c>
      <c r="G48" s="34" t="s">
        <v>392</v>
      </c>
    </row>
    <row r="49" customFormat="false" ht="15" hidden="false" customHeight="false" outlineLevel="0" collapsed="false">
      <c r="A49" s="22" t="s">
        <v>393</v>
      </c>
      <c r="B49" s="6" t="s">
        <v>394</v>
      </c>
      <c r="C49" s="49" t="n">
        <f aca="false">1</f>
        <v>1</v>
      </c>
      <c r="D49" s="6" t="s">
        <v>374</v>
      </c>
      <c r="E49" s="51" t="n">
        <v>24000</v>
      </c>
      <c r="F49" s="8" t="n">
        <f aca="false">C49*E49</f>
        <v>24000</v>
      </c>
      <c r="G49" s="34" t="s">
        <v>395</v>
      </c>
    </row>
    <row r="50" customFormat="false" ht="15" hidden="false" customHeight="false" outlineLevel="0" collapsed="false">
      <c r="A50" s="11"/>
      <c r="B50" s="12" t="s">
        <v>396</v>
      </c>
      <c r="C50" s="11"/>
      <c r="D50" s="11"/>
      <c r="E50" s="11"/>
      <c r="F50" s="13" t="n">
        <f aca="false">SUM(F44:F49)</f>
        <v>242525.977721538</v>
      </c>
      <c r="G50" s="11"/>
    </row>
    <row r="52" customFormat="false" ht="15" hidden="false" customHeight="false" outlineLevel="0" collapsed="false">
      <c r="A52" s="46" t="n">
        <v>5</v>
      </c>
      <c r="B52" s="47" t="s">
        <v>397</v>
      </c>
      <c r="C52" s="48"/>
      <c r="D52" s="48"/>
      <c r="E52" s="48"/>
      <c r="F52" s="48"/>
      <c r="G52" s="48"/>
    </row>
    <row r="53" customFormat="false" ht="15" hidden="false" customHeight="false" outlineLevel="0" collapsed="false">
      <c r="A53" s="22" t="s">
        <v>398</v>
      </c>
      <c r="B53" s="6" t="s">
        <v>399</v>
      </c>
      <c r="C53" s="49" t="n">
        <f aca="false">2</f>
        <v>2</v>
      </c>
      <c r="D53" s="6" t="s">
        <v>400</v>
      </c>
      <c r="E53" s="50" t="n">
        <f aca="false">假設與單價!$C$25</f>
        <v>95000</v>
      </c>
      <c r="F53" s="8" t="n">
        <f aca="false">C53*E53</f>
        <v>190000</v>
      </c>
      <c r="G53" s="34" t="s">
        <v>401</v>
      </c>
    </row>
    <row r="54" customFormat="false" ht="15" hidden="false" customHeight="false" outlineLevel="0" collapsed="false">
      <c r="A54" s="22" t="s">
        <v>402</v>
      </c>
      <c r="B54" s="6" t="s">
        <v>403</v>
      </c>
      <c r="C54" s="49" t="n">
        <f aca="false">2</f>
        <v>2</v>
      </c>
      <c r="D54" s="6" t="s">
        <v>374</v>
      </c>
      <c r="E54" s="51" t="n">
        <v>22000</v>
      </c>
      <c r="F54" s="8" t="n">
        <f aca="false">C54*E54</f>
        <v>44000</v>
      </c>
      <c r="G54" s="36" t="s">
        <v>404</v>
      </c>
    </row>
    <row r="55" customFormat="false" ht="15" hidden="false" customHeight="false" outlineLevel="0" collapsed="false">
      <c r="A55" s="11"/>
      <c r="B55" s="12" t="s">
        <v>405</v>
      </c>
      <c r="C55" s="11"/>
      <c r="D55" s="11"/>
      <c r="E55" s="11"/>
      <c r="F55" s="13" t="n">
        <f aca="false">SUM(F53:F54)</f>
        <v>234000</v>
      </c>
      <c r="G55" s="11"/>
    </row>
    <row r="57" customFormat="false" ht="15" hidden="false" customHeight="false" outlineLevel="0" collapsed="false">
      <c r="A57" s="46" t="n">
        <v>6</v>
      </c>
      <c r="B57" s="47" t="s">
        <v>406</v>
      </c>
      <c r="C57" s="48"/>
      <c r="D57" s="48"/>
      <c r="E57" s="48"/>
      <c r="F57" s="48"/>
      <c r="G57" s="48"/>
    </row>
    <row r="58" customFormat="false" ht="15" hidden="false" customHeight="false" outlineLevel="0" collapsed="false">
      <c r="A58" s="22" t="s">
        <v>407</v>
      </c>
      <c r="B58" s="6" t="s">
        <v>408</v>
      </c>
      <c r="C58" s="49" t="n">
        <f aca="false">'數量計算-原絲廠房'!$C$49</f>
        <v>9040</v>
      </c>
      <c r="D58" s="22" t="s">
        <v>252</v>
      </c>
      <c r="E58" s="50" t="n">
        <f aca="false">假設與單價!$C$29</f>
        <v>55</v>
      </c>
      <c r="F58" s="8" t="n">
        <f aca="false">C58*E58</f>
        <v>497200</v>
      </c>
      <c r="G58" s="34" t="s">
        <v>409</v>
      </c>
    </row>
    <row r="59" customFormat="false" ht="15" hidden="false" customHeight="false" outlineLevel="0" collapsed="false">
      <c r="A59" s="22" t="s">
        <v>410</v>
      </c>
      <c r="B59" s="6" t="s">
        <v>411</v>
      </c>
      <c r="C59" s="49" t="n">
        <f aca="false">'數量計算-原絲廠房'!$C$49</f>
        <v>9040</v>
      </c>
      <c r="D59" s="22" t="s">
        <v>252</v>
      </c>
      <c r="E59" s="50" t="n">
        <f aca="false">假設與單價!$C$30</f>
        <v>14</v>
      </c>
      <c r="F59" s="8" t="n">
        <f aca="false">C59*E59</f>
        <v>126560</v>
      </c>
      <c r="G59" s="36"/>
    </row>
    <row r="60" customFormat="false" ht="15" hidden="false" customHeight="false" outlineLevel="0" collapsed="false">
      <c r="A60" s="22" t="s">
        <v>412</v>
      </c>
      <c r="B60" s="6" t="s">
        <v>155</v>
      </c>
      <c r="C60" s="49" t="n">
        <f aca="false">'數量計算-原絲廠房'!$C$49</f>
        <v>9040</v>
      </c>
      <c r="D60" s="22" t="s">
        <v>252</v>
      </c>
      <c r="E60" s="50" t="n">
        <f aca="false">假設與單價!$C$31</f>
        <v>8</v>
      </c>
      <c r="F60" s="8" t="n">
        <f aca="false">C60*E60</f>
        <v>72320</v>
      </c>
      <c r="G60" s="36"/>
    </row>
    <row r="61" customFormat="false" ht="15" hidden="false" customHeight="false" outlineLevel="0" collapsed="false">
      <c r="A61" s="22" t="s">
        <v>413</v>
      </c>
      <c r="B61" s="6" t="s">
        <v>414</v>
      </c>
      <c r="C61" s="49" t="n">
        <f aca="false">'數量計算-原絲廠房'!$C$49</f>
        <v>9040</v>
      </c>
      <c r="D61" s="22" t="s">
        <v>252</v>
      </c>
      <c r="E61" s="50" t="n">
        <f aca="false">假設與單價!$C$32</f>
        <v>16</v>
      </c>
      <c r="F61" s="8" t="n">
        <f aca="false">C61*E61</f>
        <v>144640</v>
      </c>
      <c r="G61" s="36"/>
    </row>
    <row r="62" customFormat="false" ht="15" hidden="false" customHeight="false" outlineLevel="0" collapsed="false">
      <c r="A62" s="22" t="s">
        <v>415</v>
      </c>
      <c r="B62" s="6" t="s">
        <v>416</v>
      </c>
      <c r="C62" s="49" t="n">
        <f aca="false">'數量計算-原絲廠房'!$C$49</f>
        <v>9040</v>
      </c>
      <c r="D62" s="22" t="s">
        <v>252</v>
      </c>
      <c r="E62" s="50" t="n">
        <f aca="false">假設與單價!$C$33</f>
        <v>38</v>
      </c>
      <c r="F62" s="8" t="n">
        <f aca="false">C62*E62</f>
        <v>343520</v>
      </c>
      <c r="G62" s="36"/>
    </row>
    <row r="63" customFormat="false" ht="15" hidden="false" customHeight="false" outlineLevel="0" collapsed="false">
      <c r="A63" s="22" t="s">
        <v>417</v>
      </c>
      <c r="B63" s="6" t="s">
        <v>418</v>
      </c>
      <c r="C63" s="49" t="n">
        <f aca="false">'數量計算-原絲廠房'!$C$49</f>
        <v>9040</v>
      </c>
      <c r="D63" s="22" t="s">
        <v>252</v>
      </c>
      <c r="E63" s="50" t="n">
        <f aca="false">假設與單價!$C$34</f>
        <v>9</v>
      </c>
      <c r="F63" s="8" t="n">
        <f aca="false">C63*E63</f>
        <v>81360</v>
      </c>
      <c r="G63" s="36" t="s">
        <v>419</v>
      </c>
    </row>
    <row r="64" customFormat="false" ht="15" hidden="false" customHeight="false" outlineLevel="0" collapsed="false">
      <c r="A64" s="22" t="s">
        <v>420</v>
      </c>
      <c r="B64" s="6" t="s">
        <v>421</v>
      </c>
      <c r="C64" s="49" t="n">
        <f aca="false">1</f>
        <v>1</v>
      </c>
      <c r="D64" s="6" t="s">
        <v>374</v>
      </c>
      <c r="E64" s="51" t="n">
        <v>14000</v>
      </c>
      <c r="F64" s="8" t="n">
        <f aca="false">C64*E64</f>
        <v>14000</v>
      </c>
      <c r="G64" s="36"/>
    </row>
    <row r="65" customFormat="false" ht="15" hidden="false" customHeight="false" outlineLevel="0" collapsed="false">
      <c r="A65" s="11"/>
      <c r="B65" s="12" t="s">
        <v>422</v>
      </c>
      <c r="C65" s="11"/>
      <c r="D65" s="11"/>
      <c r="E65" s="11"/>
      <c r="F65" s="13" t="n">
        <f aca="false">SUM(F58:F64)</f>
        <v>1279600</v>
      </c>
      <c r="G65" s="11"/>
    </row>
    <row r="67" customFormat="false" ht="17.15" hidden="false" customHeight="false" outlineLevel="0" collapsed="false">
      <c r="A67" s="11"/>
      <c r="B67" s="52" t="s">
        <v>423</v>
      </c>
      <c r="C67" s="11"/>
      <c r="D67" s="11"/>
      <c r="E67" s="11"/>
      <c r="F67" s="53" t="n">
        <f aca="false">F18+F29+F41+F50+F55+F65</f>
        <v>4262063.48188908</v>
      </c>
      <c r="G67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41" t="s">
        <v>424</v>
      </c>
    </row>
    <row r="2" customFormat="false" ht="15" hidden="false" customHeight="false" outlineLevel="0" collapsed="false">
      <c r="A2" s="2" t="s">
        <v>425</v>
      </c>
    </row>
    <row r="4" customFormat="false" ht="30" hidden="false" customHeight="true" outlineLevel="0" collapsed="false">
      <c r="A4" s="3" t="s">
        <v>2</v>
      </c>
      <c r="B4" s="3" t="s">
        <v>282</v>
      </c>
      <c r="C4" s="3" t="s">
        <v>283</v>
      </c>
      <c r="D4" s="3" t="s">
        <v>66</v>
      </c>
      <c r="E4" s="3" t="s">
        <v>284</v>
      </c>
      <c r="F4" s="3" t="s">
        <v>4</v>
      </c>
      <c r="G4" s="3" t="s">
        <v>285</v>
      </c>
    </row>
    <row r="5" customFormat="false" ht="15" hidden="false" customHeight="false" outlineLevel="0" collapsed="false">
      <c r="A5" s="46" t="n">
        <v>1</v>
      </c>
      <c r="B5" s="47" t="s">
        <v>286</v>
      </c>
      <c r="C5" s="48"/>
      <c r="D5" s="48"/>
      <c r="E5" s="48"/>
      <c r="F5" s="48"/>
      <c r="G5" s="48"/>
    </row>
    <row r="6" customFormat="false" ht="15" hidden="false" customHeight="false" outlineLevel="0" collapsed="false">
      <c r="A6" s="22" t="s">
        <v>287</v>
      </c>
      <c r="B6" s="6" t="s">
        <v>426</v>
      </c>
      <c r="C6" s="49" t="n">
        <f aca="false">72*3.5*3.5*1.8</f>
        <v>1587.6</v>
      </c>
      <c r="D6" s="22" t="s">
        <v>242</v>
      </c>
      <c r="E6" s="50" t="n">
        <f aca="false">假設與單價!$C$12</f>
        <v>9</v>
      </c>
      <c r="F6" s="8" t="n">
        <f aca="false">C6*E6</f>
        <v>14288.4</v>
      </c>
      <c r="G6" s="34" t="s">
        <v>427</v>
      </c>
    </row>
    <row r="7" customFormat="false" ht="15" hidden="false" customHeight="false" outlineLevel="0" collapsed="false">
      <c r="A7" s="22" t="s">
        <v>290</v>
      </c>
      <c r="B7" s="6" t="s">
        <v>428</v>
      </c>
      <c r="C7" s="49" t="n">
        <f aca="false">72*3.5*3.5*0.1</f>
        <v>88.2</v>
      </c>
      <c r="D7" s="22" t="s">
        <v>242</v>
      </c>
      <c r="E7" s="50" t="n">
        <f aca="false">假設與單價!$C$13</f>
        <v>95</v>
      </c>
      <c r="F7" s="8" t="n">
        <f aca="false">C7*E7</f>
        <v>8379</v>
      </c>
      <c r="G7" s="36"/>
    </row>
    <row r="8" customFormat="false" ht="15" hidden="false" customHeight="false" outlineLevel="0" collapsed="false">
      <c r="A8" s="22" t="s">
        <v>293</v>
      </c>
      <c r="B8" s="6" t="s">
        <v>429</v>
      </c>
      <c r="C8" s="49" t="n">
        <f aca="false">72*(3*3*0.8+0.5*0.5*1.5)</f>
        <v>545.4</v>
      </c>
      <c r="D8" s="22" t="s">
        <v>242</v>
      </c>
      <c r="E8" s="50" t="n">
        <f aca="false">假設與單價!$C$8</f>
        <v>186.827703340253</v>
      </c>
      <c r="F8" s="8" t="n">
        <f aca="false">C8*E8</f>
        <v>101895.829401774</v>
      </c>
      <c r="G8" s="34" t="s">
        <v>430</v>
      </c>
    </row>
    <row r="9" customFormat="false" ht="15" hidden="false" customHeight="false" outlineLevel="0" collapsed="false">
      <c r="A9" s="22" t="s">
        <v>296</v>
      </c>
      <c r="B9" s="6" t="s">
        <v>431</v>
      </c>
      <c r="C9" s="49" t="n">
        <f aca="false">72*(3*3*0.8+0.5*0.5*1.5)*60</f>
        <v>32724</v>
      </c>
      <c r="D9" s="22" t="s">
        <v>298</v>
      </c>
      <c r="E9" s="50" t="n">
        <f aca="false">假設與單價!$C$9</f>
        <v>1.62918205591351</v>
      </c>
      <c r="F9" s="8" t="n">
        <f aca="false">C9*E9</f>
        <v>53313.3535977139</v>
      </c>
      <c r="G9" s="36"/>
    </row>
    <row r="10" customFormat="false" ht="15" hidden="false" customHeight="false" outlineLevel="0" collapsed="false">
      <c r="A10" s="22" t="s">
        <v>300</v>
      </c>
      <c r="B10" s="6" t="s">
        <v>432</v>
      </c>
      <c r="C10" s="49" t="n">
        <f aca="false">72*(4*3*0.8+4*0.5*1.5)</f>
        <v>907.2</v>
      </c>
      <c r="D10" s="22" t="s">
        <v>252</v>
      </c>
      <c r="E10" s="50" t="n">
        <f aca="false">假設與單價!$C$10</f>
        <v>26</v>
      </c>
      <c r="F10" s="8" t="n">
        <f aca="false">C10*E10</f>
        <v>23587.2</v>
      </c>
      <c r="G10" s="36"/>
    </row>
    <row r="11" customFormat="false" ht="15" hidden="false" customHeight="false" outlineLevel="0" collapsed="false">
      <c r="A11" s="22" t="s">
        <v>303</v>
      </c>
      <c r="B11" s="6" t="s">
        <v>433</v>
      </c>
      <c r="C11" s="49" t="n">
        <f aca="false">(2*(58+73.4)+58*2)*0.3*0.5</f>
        <v>56.82</v>
      </c>
      <c r="D11" s="22" t="s">
        <v>242</v>
      </c>
      <c r="E11" s="50" t="n">
        <f aca="false">假設與單價!$C$8</f>
        <v>186.827703340253</v>
      </c>
      <c r="F11" s="8" t="n">
        <f aca="false">C11*E11</f>
        <v>10615.5501037932</v>
      </c>
      <c r="G11" s="36" t="s">
        <v>434</v>
      </c>
    </row>
    <row r="12" customFormat="false" ht="15" hidden="false" customHeight="false" outlineLevel="0" collapsed="false">
      <c r="A12" s="22" t="s">
        <v>306</v>
      </c>
      <c r="B12" s="6" t="s">
        <v>435</v>
      </c>
      <c r="C12" s="49" t="n">
        <f aca="false">(2*(58+73.4)+58*2)*0.3*0.5*130</f>
        <v>7386.6</v>
      </c>
      <c r="D12" s="22" t="s">
        <v>298</v>
      </c>
      <c r="E12" s="50" t="n">
        <f aca="false">假設與單價!$C$9</f>
        <v>1.62918205591351</v>
      </c>
      <c r="F12" s="8" t="n">
        <f aca="false">C12*E12</f>
        <v>12034.1161742108</v>
      </c>
      <c r="G12" s="36"/>
    </row>
    <row r="13" customFormat="false" ht="15" hidden="false" customHeight="false" outlineLevel="0" collapsed="false">
      <c r="A13" s="22" t="s">
        <v>308</v>
      </c>
      <c r="B13" s="6" t="s">
        <v>436</v>
      </c>
      <c r="C13" s="49" t="n">
        <f aca="false">(2*(58+73.4)+58*2)*1</f>
        <v>378.8</v>
      </c>
      <c r="D13" s="22" t="s">
        <v>252</v>
      </c>
      <c r="E13" s="50" t="n">
        <f aca="false">假設與單價!$C$10</f>
        <v>26</v>
      </c>
      <c r="F13" s="8" t="n">
        <f aca="false">C13*E13</f>
        <v>9848.8</v>
      </c>
      <c r="G13" s="36"/>
    </row>
    <row r="14" customFormat="false" ht="15" hidden="false" customHeight="false" outlineLevel="0" collapsed="false">
      <c r="A14" s="11"/>
      <c r="B14" s="12" t="s">
        <v>320</v>
      </c>
      <c r="C14" s="11"/>
      <c r="D14" s="11"/>
      <c r="E14" s="11"/>
      <c r="F14" s="13" t="n">
        <f aca="false">SUM(F6:F13)</f>
        <v>233962.249277492</v>
      </c>
      <c r="G14" s="11"/>
    </row>
    <row r="16" customFormat="false" ht="15" hidden="false" customHeight="false" outlineLevel="0" collapsed="false">
      <c r="A16" s="46" t="n">
        <v>2</v>
      </c>
      <c r="B16" s="47" t="s">
        <v>437</v>
      </c>
      <c r="C16" s="48"/>
      <c r="D16" s="48"/>
      <c r="E16" s="48"/>
      <c r="F16" s="48"/>
      <c r="G16" s="48"/>
    </row>
    <row r="17" customFormat="false" ht="15" hidden="false" customHeight="false" outlineLevel="0" collapsed="false">
      <c r="A17" s="22" t="s">
        <v>322</v>
      </c>
      <c r="B17" s="6" t="s">
        <v>438</v>
      </c>
      <c r="C17" s="49" t="n">
        <f aca="false">58*73.4*假設與單價!$C$21</f>
        <v>234146</v>
      </c>
      <c r="D17" s="22" t="s">
        <v>298</v>
      </c>
      <c r="E17" s="50" t="n">
        <f aca="false">假設與單價!$C$20</f>
        <v>2.27394258552005</v>
      </c>
      <c r="F17" s="8" t="n">
        <f aca="false">C17*E17</f>
        <v>532434.560629177</v>
      </c>
      <c r="G17" s="36" t="s">
        <v>439</v>
      </c>
    </row>
    <row r="18" customFormat="false" ht="15" hidden="false" customHeight="false" outlineLevel="0" collapsed="false">
      <c r="A18" s="22" t="s">
        <v>325</v>
      </c>
      <c r="B18" s="6" t="s">
        <v>440</v>
      </c>
      <c r="C18" s="49" t="n">
        <f aca="false">9</f>
        <v>9</v>
      </c>
      <c r="D18" s="6" t="s">
        <v>441</v>
      </c>
      <c r="E18" s="51" t="n">
        <v>1400</v>
      </c>
      <c r="F18" s="8" t="n">
        <f aca="false">C18*E18</f>
        <v>12600</v>
      </c>
      <c r="G18" s="36" t="s">
        <v>442</v>
      </c>
    </row>
    <row r="19" customFormat="false" ht="15" hidden="false" customHeight="false" outlineLevel="0" collapsed="false">
      <c r="A19" s="22" t="s">
        <v>328</v>
      </c>
      <c r="B19" s="6" t="s">
        <v>443</v>
      </c>
      <c r="C19" s="49" t="n">
        <f aca="false">58*15.4*45</f>
        <v>40194</v>
      </c>
      <c r="D19" s="22" t="s">
        <v>298</v>
      </c>
      <c r="E19" s="50" t="n">
        <f aca="false">假設與單價!$C$20</f>
        <v>2.27394258552005</v>
      </c>
      <c r="F19" s="8" t="n">
        <f aca="false">C19*E19</f>
        <v>91398.8482823928</v>
      </c>
      <c r="G19" s="34" t="s">
        <v>444</v>
      </c>
    </row>
    <row r="20" customFormat="false" ht="15" hidden="false" customHeight="false" outlineLevel="0" collapsed="false">
      <c r="A20" s="22" t="s">
        <v>331</v>
      </c>
      <c r="B20" s="6" t="s">
        <v>445</v>
      </c>
      <c r="C20" s="49" t="n">
        <f aca="false">58*15.4</f>
        <v>893.2</v>
      </c>
      <c r="D20" s="22" t="s">
        <v>252</v>
      </c>
      <c r="E20" s="50" t="n">
        <f aca="false">假設與單價!$C$22</f>
        <v>95</v>
      </c>
      <c r="F20" s="8" t="n">
        <f aca="false">C20*E20</f>
        <v>84854</v>
      </c>
      <c r="G20" s="36"/>
    </row>
    <row r="21" customFormat="false" ht="15" hidden="false" customHeight="false" outlineLevel="0" collapsed="false">
      <c r="A21" s="22" t="s">
        <v>334</v>
      </c>
      <c r="B21" s="6" t="s">
        <v>446</v>
      </c>
      <c r="C21" s="49" t="n">
        <f aca="false">2</f>
        <v>2</v>
      </c>
      <c r="D21" s="6" t="s">
        <v>441</v>
      </c>
      <c r="E21" s="51" t="n">
        <v>9500</v>
      </c>
      <c r="F21" s="8" t="n">
        <f aca="false">C21*E21</f>
        <v>19000</v>
      </c>
      <c r="G21" s="36"/>
    </row>
    <row r="22" customFormat="false" ht="15" hidden="false" customHeight="false" outlineLevel="0" collapsed="false">
      <c r="A22" s="11"/>
      <c r="B22" s="12" t="s">
        <v>447</v>
      </c>
      <c r="C22" s="11"/>
      <c r="D22" s="11"/>
      <c r="E22" s="11"/>
      <c r="F22" s="13" t="n">
        <f aca="false">SUM(F17:F21)</f>
        <v>740287.40891157</v>
      </c>
      <c r="G22" s="11"/>
    </row>
    <row r="24" customFormat="false" ht="15" hidden="false" customHeight="false" outlineLevel="0" collapsed="false">
      <c r="A24" s="46" t="n">
        <v>3</v>
      </c>
      <c r="B24" s="47" t="s">
        <v>448</v>
      </c>
      <c r="C24" s="48"/>
      <c r="D24" s="48"/>
      <c r="E24" s="48"/>
      <c r="F24" s="48"/>
      <c r="G24" s="48"/>
    </row>
    <row r="25" customFormat="false" ht="15" hidden="false" customHeight="false" outlineLevel="0" collapsed="false">
      <c r="A25" s="22" t="s">
        <v>348</v>
      </c>
      <c r="B25" s="6" t="s">
        <v>449</v>
      </c>
      <c r="C25" s="49" t="n">
        <f aca="false">58*73.4*1.03</f>
        <v>4384.916</v>
      </c>
      <c r="D25" s="22" t="s">
        <v>252</v>
      </c>
      <c r="E25" s="50" t="n">
        <f aca="false">假設與單價!$C$18</f>
        <v>81.5443614698191</v>
      </c>
      <c r="F25" s="8" t="n">
        <f aca="false">C25*E25</f>
        <v>357565.175318793</v>
      </c>
      <c r="G25" s="34" t="s">
        <v>450</v>
      </c>
    </row>
    <row r="26" customFormat="false" ht="15" hidden="false" customHeight="false" outlineLevel="0" collapsed="false">
      <c r="A26" s="22" t="s">
        <v>351</v>
      </c>
      <c r="B26" s="6" t="s">
        <v>451</v>
      </c>
      <c r="C26" s="49" t="n">
        <f aca="false">58*73.4</f>
        <v>4257.2</v>
      </c>
      <c r="D26" s="22" t="s">
        <v>252</v>
      </c>
      <c r="E26" s="51" t="n">
        <v>9</v>
      </c>
      <c r="F26" s="8" t="n">
        <f aca="false">C26*E26</f>
        <v>38314.8</v>
      </c>
      <c r="G26" s="36"/>
    </row>
    <row r="27" customFormat="false" ht="15" hidden="false" customHeight="false" outlineLevel="0" collapsed="false">
      <c r="A27" s="22" t="s">
        <v>354</v>
      </c>
      <c r="B27" s="6" t="s">
        <v>452</v>
      </c>
      <c r="C27" s="49" t="n">
        <f aca="false">2*(58+73.4)*(11-2.4)*0.92</f>
        <v>2079.2736</v>
      </c>
      <c r="D27" s="22" t="s">
        <v>252</v>
      </c>
      <c r="E27" s="50" t="n">
        <f aca="false">假設與單價!$C$19</f>
        <v>42</v>
      </c>
      <c r="F27" s="8" t="n">
        <f aca="false">C27*E27</f>
        <v>87329.4912</v>
      </c>
      <c r="G27" s="36" t="s">
        <v>453</v>
      </c>
    </row>
    <row r="28" customFormat="false" ht="15" hidden="false" customHeight="false" outlineLevel="0" collapsed="false">
      <c r="A28" s="22" t="s">
        <v>356</v>
      </c>
      <c r="B28" s="6" t="s">
        <v>454</v>
      </c>
      <c r="C28" s="49" t="n">
        <f aca="false">2*(58+73.4)*2.4</f>
        <v>630.72</v>
      </c>
      <c r="D28" s="22" t="s">
        <v>252</v>
      </c>
      <c r="E28" s="50" t="n">
        <f aca="false">假設與單價!$C$16+2*假設與單價!$C$17</f>
        <v>59.5140575715095</v>
      </c>
      <c r="F28" s="8" t="n">
        <f aca="false">C28*E28</f>
        <v>37536.7063915024</v>
      </c>
      <c r="G28" s="36"/>
    </row>
    <row r="29" customFormat="false" ht="15" hidden="false" customHeight="false" outlineLevel="0" collapsed="false">
      <c r="A29" s="22" t="s">
        <v>359</v>
      </c>
      <c r="B29" s="6" t="s">
        <v>455</v>
      </c>
      <c r="C29" s="49" t="n">
        <f aca="false">58*73.4</f>
        <v>4257.2</v>
      </c>
      <c r="D29" s="22" t="s">
        <v>252</v>
      </c>
      <c r="E29" s="50" t="n">
        <f aca="false">假設與單價!$C$14</f>
        <v>62.2297502224139</v>
      </c>
      <c r="F29" s="8" t="n">
        <f aca="false">C29*E29</f>
        <v>264924.492646861</v>
      </c>
      <c r="G29" s="36" t="s">
        <v>456</v>
      </c>
    </row>
    <row r="30" customFormat="false" ht="15" hidden="false" customHeight="false" outlineLevel="0" collapsed="false">
      <c r="A30" s="22" t="s">
        <v>362</v>
      </c>
      <c r="B30" s="6" t="s">
        <v>457</v>
      </c>
      <c r="C30" s="49" t="n">
        <f aca="false">6</f>
        <v>6</v>
      </c>
      <c r="D30" s="6" t="s">
        <v>367</v>
      </c>
      <c r="E30" s="50" t="n">
        <f aca="false">假設與單價!$C$26</f>
        <v>4200</v>
      </c>
      <c r="F30" s="8" t="n">
        <f aca="false">C30*E30</f>
        <v>25200</v>
      </c>
      <c r="G30" s="34" t="s">
        <v>458</v>
      </c>
    </row>
    <row r="31" customFormat="false" ht="15" hidden="false" customHeight="false" outlineLevel="0" collapsed="false">
      <c r="A31" s="22" t="s">
        <v>365</v>
      </c>
      <c r="B31" s="6" t="s">
        <v>459</v>
      </c>
      <c r="C31" s="49" t="n">
        <f aca="false">2</f>
        <v>2</v>
      </c>
      <c r="D31" s="6" t="s">
        <v>367</v>
      </c>
      <c r="E31" s="50" t="n">
        <f aca="false">假設與單價!$C$27</f>
        <v>9500</v>
      </c>
      <c r="F31" s="8" t="n">
        <f aca="false">C31*E31</f>
        <v>19000</v>
      </c>
      <c r="G31" s="36"/>
    </row>
    <row r="32" customFormat="false" ht="15" hidden="false" customHeight="false" outlineLevel="0" collapsed="false">
      <c r="A32" s="22" t="s">
        <v>369</v>
      </c>
      <c r="B32" s="6" t="s">
        <v>460</v>
      </c>
      <c r="C32" s="49" t="n">
        <f aca="false">1</f>
        <v>1</v>
      </c>
      <c r="D32" s="6" t="s">
        <v>374</v>
      </c>
      <c r="E32" s="51" t="n">
        <v>32000</v>
      </c>
      <c r="F32" s="8" t="n">
        <f aca="false">C32*E32</f>
        <v>32000</v>
      </c>
      <c r="G32" s="36"/>
    </row>
    <row r="33" customFormat="false" ht="15" hidden="false" customHeight="false" outlineLevel="0" collapsed="false">
      <c r="A33" s="11"/>
      <c r="B33" s="12" t="s">
        <v>461</v>
      </c>
      <c r="C33" s="11"/>
      <c r="D33" s="11"/>
      <c r="E33" s="11"/>
      <c r="F33" s="13" t="n">
        <f aca="false">SUM(F25:F32)</f>
        <v>861870.665557157</v>
      </c>
      <c r="G33" s="11"/>
    </row>
    <row r="35" customFormat="false" ht="15" hidden="false" customHeight="false" outlineLevel="0" collapsed="false">
      <c r="A35" s="46" t="n">
        <v>4</v>
      </c>
      <c r="B35" s="47" t="s">
        <v>377</v>
      </c>
      <c r="C35" s="48"/>
      <c r="D35" s="48"/>
      <c r="E35" s="48"/>
      <c r="F35" s="48"/>
      <c r="G35" s="48"/>
    </row>
    <row r="36" customFormat="false" ht="15" hidden="false" customHeight="false" outlineLevel="0" collapsed="false">
      <c r="A36" s="22" t="s">
        <v>378</v>
      </c>
      <c r="B36" s="6" t="s">
        <v>462</v>
      </c>
      <c r="C36" s="49" t="n">
        <f aca="false">780</f>
        <v>780</v>
      </c>
      <c r="D36" s="22" t="s">
        <v>252</v>
      </c>
      <c r="E36" s="50" t="n">
        <f aca="false">假設與單價!$C$16</f>
        <v>37.5140575715095</v>
      </c>
      <c r="F36" s="8" t="n">
        <f aca="false">C36*E36</f>
        <v>29260.9649057774</v>
      </c>
      <c r="G36" s="36" t="s">
        <v>463</v>
      </c>
    </row>
    <row r="37" customFormat="false" ht="15" hidden="false" customHeight="false" outlineLevel="0" collapsed="false">
      <c r="A37" s="22" t="s">
        <v>381</v>
      </c>
      <c r="B37" s="6" t="s">
        <v>382</v>
      </c>
      <c r="C37" s="49" t="n">
        <f aca="false">780*2</f>
        <v>1560</v>
      </c>
      <c r="D37" s="22" t="s">
        <v>252</v>
      </c>
      <c r="E37" s="50" t="n">
        <f aca="false">假設與單價!$C$17</f>
        <v>11</v>
      </c>
      <c r="F37" s="8" t="n">
        <f aca="false">C37*E37</f>
        <v>17160</v>
      </c>
      <c r="G37" s="36"/>
    </row>
    <row r="38" customFormat="false" ht="15" hidden="false" customHeight="false" outlineLevel="0" collapsed="false">
      <c r="A38" s="22" t="s">
        <v>383</v>
      </c>
      <c r="B38" s="6" t="s">
        <v>464</v>
      </c>
      <c r="C38" s="49" t="n">
        <f aca="false">(11*8.5+8*8.5+11*8.5+8*8.5)</f>
        <v>323</v>
      </c>
      <c r="D38" s="22" t="s">
        <v>252</v>
      </c>
      <c r="E38" s="51" t="n">
        <v>45</v>
      </c>
      <c r="F38" s="8" t="n">
        <f aca="false">C38*E38</f>
        <v>14535</v>
      </c>
      <c r="G38" s="36"/>
    </row>
    <row r="39" customFormat="false" ht="15" hidden="false" customHeight="false" outlineLevel="0" collapsed="false">
      <c r="A39" s="22" t="s">
        <v>386</v>
      </c>
      <c r="B39" s="6" t="s">
        <v>465</v>
      </c>
      <c r="C39" s="49" t="n">
        <f aca="false">2</f>
        <v>2</v>
      </c>
      <c r="D39" s="6" t="s">
        <v>388</v>
      </c>
      <c r="E39" s="50" t="n">
        <f aca="false">假設與單價!$C$28</f>
        <v>6500</v>
      </c>
      <c r="F39" s="8" t="n">
        <f aca="false">C39*E39</f>
        <v>13000</v>
      </c>
      <c r="G39" s="34" t="s">
        <v>466</v>
      </c>
    </row>
    <row r="40" customFormat="false" ht="15" hidden="false" customHeight="false" outlineLevel="0" collapsed="false">
      <c r="A40" s="22" t="s">
        <v>390</v>
      </c>
      <c r="B40" s="6" t="s">
        <v>467</v>
      </c>
      <c r="C40" s="49" t="n">
        <f aca="false">22*15</f>
        <v>330</v>
      </c>
      <c r="D40" s="22" t="s">
        <v>252</v>
      </c>
      <c r="E40" s="51" t="n">
        <v>16</v>
      </c>
      <c r="F40" s="8" t="n">
        <f aca="false">C40*E40</f>
        <v>5280</v>
      </c>
      <c r="G40" s="36"/>
    </row>
    <row r="41" customFormat="false" ht="15" hidden="false" customHeight="false" outlineLevel="0" collapsed="false">
      <c r="A41" s="11"/>
      <c r="B41" s="12" t="s">
        <v>396</v>
      </c>
      <c r="C41" s="11"/>
      <c r="D41" s="11"/>
      <c r="E41" s="11"/>
      <c r="F41" s="13" t="n">
        <f aca="false">SUM(F36:F40)</f>
        <v>79235.9649057774</v>
      </c>
      <c r="G41" s="11"/>
    </row>
    <row r="43" customFormat="false" ht="15" hidden="false" customHeight="false" outlineLevel="0" collapsed="false">
      <c r="A43" s="46" t="n">
        <v>5</v>
      </c>
      <c r="B43" s="47" t="s">
        <v>468</v>
      </c>
      <c r="C43" s="48"/>
      <c r="D43" s="48"/>
      <c r="E43" s="48"/>
      <c r="F43" s="48"/>
      <c r="G43" s="48"/>
    </row>
    <row r="44" customFormat="false" ht="15" hidden="false" customHeight="false" outlineLevel="0" collapsed="false">
      <c r="A44" s="22" t="s">
        <v>398</v>
      </c>
      <c r="B44" s="6" t="s">
        <v>469</v>
      </c>
      <c r="C44" s="49" t="n">
        <f aca="false">4700</f>
        <v>4700</v>
      </c>
      <c r="D44" s="22" t="s">
        <v>252</v>
      </c>
      <c r="E44" s="50" t="n">
        <f aca="false">假設與單價!$C$29</f>
        <v>55</v>
      </c>
      <c r="F44" s="8" t="n">
        <f aca="false">C44*E44</f>
        <v>258500</v>
      </c>
      <c r="G44" s="34" t="s">
        <v>470</v>
      </c>
    </row>
    <row r="45" customFormat="false" ht="15" hidden="false" customHeight="false" outlineLevel="0" collapsed="false">
      <c r="A45" s="22" t="s">
        <v>402</v>
      </c>
      <c r="B45" s="6" t="s">
        <v>411</v>
      </c>
      <c r="C45" s="49" t="n">
        <f aca="false">4700</f>
        <v>4700</v>
      </c>
      <c r="D45" s="22" t="s">
        <v>252</v>
      </c>
      <c r="E45" s="50" t="n">
        <f aca="false">假設與單價!$C$30</f>
        <v>14</v>
      </c>
      <c r="F45" s="8" t="n">
        <f aca="false">C45*E45</f>
        <v>65800</v>
      </c>
      <c r="G45" s="36"/>
    </row>
    <row r="46" customFormat="false" ht="15" hidden="false" customHeight="false" outlineLevel="0" collapsed="false">
      <c r="A46" s="22" t="s">
        <v>471</v>
      </c>
      <c r="B46" s="6" t="s">
        <v>472</v>
      </c>
      <c r="C46" s="49" t="n">
        <f aca="false">4700</f>
        <v>4700</v>
      </c>
      <c r="D46" s="22" t="s">
        <v>252</v>
      </c>
      <c r="E46" s="50" t="n">
        <f aca="false">假設與單價!$C$31</f>
        <v>8</v>
      </c>
      <c r="F46" s="8" t="n">
        <f aca="false">C46*E46</f>
        <v>37600</v>
      </c>
      <c r="G46" s="36"/>
    </row>
    <row r="47" customFormat="false" ht="15" hidden="false" customHeight="false" outlineLevel="0" collapsed="false">
      <c r="A47" s="22" t="s">
        <v>473</v>
      </c>
      <c r="B47" s="6" t="s">
        <v>474</v>
      </c>
      <c r="C47" s="49" t="n">
        <f aca="false">4700</f>
        <v>4700</v>
      </c>
      <c r="D47" s="22" t="s">
        <v>252</v>
      </c>
      <c r="E47" s="50" t="n">
        <f aca="false">假設與單價!$C$32</f>
        <v>16</v>
      </c>
      <c r="F47" s="8" t="n">
        <f aca="false">C47*E47</f>
        <v>75200</v>
      </c>
      <c r="G47" s="36"/>
    </row>
    <row r="48" customFormat="false" ht="15" hidden="false" customHeight="false" outlineLevel="0" collapsed="false">
      <c r="A48" s="22" t="s">
        <v>475</v>
      </c>
      <c r="B48" s="6" t="s">
        <v>476</v>
      </c>
      <c r="C48" s="49" t="n">
        <f aca="false">4700</f>
        <v>4700</v>
      </c>
      <c r="D48" s="22" t="s">
        <v>252</v>
      </c>
      <c r="E48" s="50" t="n">
        <f aca="false">假設與單價!$C$33</f>
        <v>38</v>
      </c>
      <c r="F48" s="8" t="n">
        <f aca="false">C48*E48</f>
        <v>178600</v>
      </c>
      <c r="G48" s="36"/>
    </row>
    <row r="49" customFormat="false" ht="15" hidden="false" customHeight="false" outlineLevel="0" collapsed="false">
      <c r="A49" s="22" t="s">
        <v>477</v>
      </c>
      <c r="B49" s="6" t="s">
        <v>478</v>
      </c>
      <c r="C49" s="49" t="n">
        <f aca="false">4700</f>
        <v>4700</v>
      </c>
      <c r="D49" s="22" t="s">
        <v>252</v>
      </c>
      <c r="E49" s="50" t="n">
        <f aca="false">假設與單價!$C$34</f>
        <v>9</v>
      </c>
      <c r="F49" s="8" t="n">
        <f aca="false">C49*E49</f>
        <v>42300</v>
      </c>
      <c r="G49" s="36" t="s">
        <v>479</v>
      </c>
    </row>
    <row r="50" customFormat="false" ht="15" hidden="false" customHeight="false" outlineLevel="0" collapsed="false">
      <c r="A50" s="11"/>
      <c r="B50" s="12" t="s">
        <v>480</v>
      </c>
      <c r="C50" s="11"/>
      <c r="D50" s="11"/>
      <c r="E50" s="11"/>
      <c r="F50" s="13" t="n">
        <f aca="false">SUM(F44:F49)</f>
        <v>658000</v>
      </c>
      <c r="G50" s="11"/>
    </row>
    <row r="52" customFormat="false" ht="17.15" hidden="false" customHeight="false" outlineLevel="0" collapsed="false">
      <c r="A52" s="11"/>
      <c r="B52" s="52" t="s">
        <v>423</v>
      </c>
      <c r="C52" s="11"/>
      <c r="D52" s="11"/>
      <c r="E52" s="11"/>
      <c r="F52" s="53" t="n">
        <f aca="false">F14+F22+F33+F41+F50</f>
        <v>2573356.288652</v>
      </c>
      <c r="G5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41" t="s">
        <v>481</v>
      </c>
    </row>
    <row r="2" customFormat="false" ht="15" hidden="false" customHeight="false" outlineLevel="0" collapsed="false">
      <c r="A2" s="2" t="s">
        <v>482</v>
      </c>
    </row>
    <row r="4" customFormat="false" ht="30" hidden="false" customHeight="true" outlineLevel="0" collapsed="false">
      <c r="A4" s="3" t="s">
        <v>2</v>
      </c>
      <c r="B4" s="3" t="s">
        <v>282</v>
      </c>
      <c r="C4" s="3" t="s">
        <v>283</v>
      </c>
      <c r="D4" s="3" t="s">
        <v>66</v>
      </c>
      <c r="E4" s="3" t="s">
        <v>284</v>
      </c>
      <c r="F4" s="3" t="s">
        <v>4</v>
      </c>
      <c r="G4" s="3" t="s">
        <v>285</v>
      </c>
    </row>
    <row r="5" customFormat="false" ht="15" hidden="false" customHeight="false" outlineLevel="0" collapsed="false">
      <c r="A5" s="46" t="n">
        <v>1</v>
      </c>
      <c r="B5" s="47" t="s">
        <v>286</v>
      </c>
      <c r="C5" s="48"/>
      <c r="D5" s="48"/>
      <c r="E5" s="48"/>
      <c r="F5" s="48"/>
      <c r="G5" s="48"/>
    </row>
    <row r="6" customFormat="false" ht="15" hidden="false" customHeight="false" outlineLevel="0" collapsed="false">
      <c r="A6" s="22" t="s">
        <v>287</v>
      </c>
      <c r="B6" s="6" t="s">
        <v>483</v>
      </c>
      <c r="C6" s="49" t="n">
        <f aca="false">24*2.5*2.5*1.5</f>
        <v>225</v>
      </c>
      <c r="D6" s="22" t="s">
        <v>242</v>
      </c>
      <c r="E6" s="50" t="n">
        <f aca="false">假設與單價!$C$12</f>
        <v>9</v>
      </c>
      <c r="F6" s="8" t="n">
        <f aca="false">C6*E6</f>
        <v>2025</v>
      </c>
      <c r="G6" s="34" t="s">
        <v>484</v>
      </c>
    </row>
    <row r="7" customFormat="false" ht="15" hidden="false" customHeight="false" outlineLevel="0" collapsed="false">
      <c r="A7" s="22" t="s">
        <v>290</v>
      </c>
      <c r="B7" s="6" t="s">
        <v>485</v>
      </c>
      <c r="C7" s="49" t="n">
        <f aca="false">24*2.5*2.5*0.6+(2*(21+38)+38*3)*0.3*0.5</f>
        <v>124.8</v>
      </c>
      <c r="D7" s="22" t="s">
        <v>242</v>
      </c>
      <c r="E7" s="50" t="n">
        <f aca="false">假設與單價!$C$8</f>
        <v>186.827703340253</v>
      </c>
      <c r="F7" s="8" t="n">
        <f aca="false">C7*E7</f>
        <v>23316.0973768636</v>
      </c>
      <c r="G7" s="36"/>
    </row>
    <row r="8" customFormat="false" ht="15" hidden="false" customHeight="false" outlineLevel="0" collapsed="false">
      <c r="A8" s="22" t="s">
        <v>293</v>
      </c>
      <c r="B8" s="6" t="s">
        <v>486</v>
      </c>
      <c r="C8" s="49" t="n">
        <f aca="false">(24*2.5*2.5*0.6+(2*(21+38)+38*3)*0.3*0.5)*80</f>
        <v>9984</v>
      </c>
      <c r="D8" s="22" t="s">
        <v>298</v>
      </c>
      <c r="E8" s="50" t="n">
        <f aca="false">假設與單價!$C$9</f>
        <v>1.62918205591351</v>
      </c>
      <c r="F8" s="8" t="n">
        <f aca="false">C8*E8</f>
        <v>16265.7536462405</v>
      </c>
      <c r="G8" s="36"/>
    </row>
    <row r="9" customFormat="false" ht="15" hidden="false" customHeight="false" outlineLevel="0" collapsed="false">
      <c r="A9" s="22" t="s">
        <v>296</v>
      </c>
      <c r="B9" s="6" t="s">
        <v>432</v>
      </c>
      <c r="C9" s="49" t="n">
        <f aca="false">24*4*2.5*0.6+(2*(21+38)+38*3)*1</f>
        <v>376</v>
      </c>
      <c r="D9" s="22" t="s">
        <v>252</v>
      </c>
      <c r="E9" s="50" t="n">
        <f aca="false">假設與單價!$C$10</f>
        <v>26</v>
      </c>
      <c r="F9" s="8" t="n">
        <f aca="false">C9*E9</f>
        <v>9776</v>
      </c>
      <c r="G9" s="36"/>
    </row>
    <row r="10" customFormat="false" ht="15" hidden="false" customHeight="false" outlineLevel="0" collapsed="false">
      <c r="A10" s="11"/>
      <c r="B10" s="12" t="s">
        <v>320</v>
      </c>
      <c r="C10" s="11"/>
      <c r="D10" s="11"/>
      <c r="E10" s="11"/>
      <c r="F10" s="13" t="n">
        <f aca="false">SUM(F6:F9)</f>
        <v>51382.8510231041</v>
      </c>
      <c r="G10" s="11"/>
    </row>
    <row r="12" customFormat="false" ht="15" hidden="false" customHeight="false" outlineLevel="0" collapsed="false">
      <c r="A12" s="46" t="n">
        <v>2</v>
      </c>
      <c r="B12" s="46" t="s">
        <v>487</v>
      </c>
      <c r="C12" s="48"/>
      <c r="D12" s="48"/>
      <c r="E12" s="48"/>
      <c r="F12" s="48"/>
      <c r="G12" s="48"/>
    </row>
    <row r="13" customFormat="false" ht="15" hidden="false" customHeight="false" outlineLevel="0" collapsed="false">
      <c r="A13" s="22" t="s">
        <v>322</v>
      </c>
      <c r="B13" s="6" t="s">
        <v>488</v>
      </c>
      <c r="C13" s="49" t="n">
        <f aca="false">2*21*38*0.28</f>
        <v>446.88</v>
      </c>
      <c r="D13" s="22" t="s">
        <v>242</v>
      </c>
      <c r="E13" s="50" t="n">
        <f aca="false">假設與單價!$C$8</f>
        <v>186.827703340253</v>
      </c>
      <c r="F13" s="8" t="n">
        <f aca="false">C13*E13</f>
        <v>83489.5640686922</v>
      </c>
      <c r="G13" s="34" t="s">
        <v>489</v>
      </c>
    </row>
    <row r="14" customFormat="false" ht="15" hidden="false" customHeight="false" outlineLevel="0" collapsed="false">
      <c r="A14" s="22" t="s">
        <v>325</v>
      </c>
      <c r="B14" s="6" t="s">
        <v>490</v>
      </c>
      <c r="C14" s="49" t="n">
        <f aca="false">2*21*38*0.28*115</f>
        <v>51391.2</v>
      </c>
      <c r="D14" s="22" t="s">
        <v>298</v>
      </c>
      <c r="E14" s="50" t="n">
        <f aca="false">假設與單價!$C$9</f>
        <v>1.62918205591351</v>
      </c>
      <c r="F14" s="8" t="n">
        <f aca="false">C14*E14</f>
        <v>83725.6208718626</v>
      </c>
      <c r="G14" s="36"/>
    </row>
    <row r="15" customFormat="false" ht="15" hidden="false" customHeight="false" outlineLevel="0" collapsed="false">
      <c r="A15" s="22" t="s">
        <v>328</v>
      </c>
      <c r="B15" s="6" t="s">
        <v>491</v>
      </c>
      <c r="C15" s="49" t="n">
        <f aca="false">2*21*38*2.2</f>
        <v>3511.2</v>
      </c>
      <c r="D15" s="22" t="s">
        <v>252</v>
      </c>
      <c r="E15" s="50" t="n">
        <f aca="false">假設與單價!$C$11</f>
        <v>22</v>
      </c>
      <c r="F15" s="8" t="n">
        <f aca="false">C15*E15</f>
        <v>77246.4</v>
      </c>
      <c r="G15" s="34" t="s">
        <v>492</v>
      </c>
    </row>
    <row r="16" customFormat="false" ht="15" hidden="false" customHeight="false" outlineLevel="0" collapsed="false">
      <c r="A16" s="22" t="s">
        <v>331</v>
      </c>
      <c r="B16" s="6" t="s">
        <v>493</v>
      </c>
      <c r="C16" s="49" t="n">
        <f aca="false">45</f>
        <v>45</v>
      </c>
      <c r="D16" s="22" t="s">
        <v>242</v>
      </c>
      <c r="E16" s="50" t="n">
        <f aca="false">假設與單價!$C$8*1.6</f>
        <v>298.924325344405</v>
      </c>
      <c r="F16" s="8" t="n">
        <f aca="false">C16*E16</f>
        <v>13451.5946404982</v>
      </c>
      <c r="G16" s="36" t="s">
        <v>494</v>
      </c>
    </row>
    <row r="17" customFormat="false" ht="15" hidden="false" customHeight="false" outlineLevel="0" collapsed="false">
      <c r="A17" s="11"/>
      <c r="B17" s="12" t="s">
        <v>495</v>
      </c>
      <c r="C17" s="11"/>
      <c r="D17" s="11"/>
      <c r="E17" s="11"/>
      <c r="F17" s="13" t="n">
        <f aca="false">SUM(F13:F16)</f>
        <v>257913.179581053</v>
      </c>
      <c r="G17" s="11"/>
    </row>
    <row r="19" customFormat="false" ht="15" hidden="false" customHeight="false" outlineLevel="0" collapsed="false">
      <c r="A19" s="46" t="n">
        <v>3</v>
      </c>
      <c r="B19" s="47" t="s">
        <v>496</v>
      </c>
      <c r="C19" s="48"/>
      <c r="D19" s="48"/>
      <c r="E19" s="48"/>
      <c r="F19" s="48"/>
      <c r="G19" s="48"/>
    </row>
    <row r="20" customFormat="false" ht="15" hidden="false" customHeight="false" outlineLevel="0" collapsed="false">
      <c r="A20" s="22" t="s">
        <v>348</v>
      </c>
      <c r="B20" s="6" t="s">
        <v>497</v>
      </c>
      <c r="C20" s="49" t="n">
        <f aca="false">2*(21+38)*9*0.85</f>
        <v>902.7</v>
      </c>
      <c r="D20" s="22" t="s">
        <v>252</v>
      </c>
      <c r="E20" s="50" t="n">
        <f aca="false">假設與單價!$C$16*1.15+2*假設與單價!$C$17</f>
        <v>65.1411662072359</v>
      </c>
      <c r="F20" s="8" t="n">
        <f aca="false">C20*E20</f>
        <v>58802.9307352718</v>
      </c>
      <c r="G20" s="36" t="s">
        <v>498</v>
      </c>
    </row>
    <row r="21" customFormat="false" ht="15" hidden="false" customHeight="false" outlineLevel="0" collapsed="false">
      <c r="A21" s="22" t="s">
        <v>351</v>
      </c>
      <c r="B21" s="6" t="s">
        <v>499</v>
      </c>
      <c r="C21" s="49" t="n">
        <f aca="false">21*38*1.03</f>
        <v>821.94</v>
      </c>
      <c r="D21" s="22" t="s">
        <v>252</v>
      </c>
      <c r="E21" s="50" t="n">
        <f aca="false">假設與單價!$C$18+18</f>
        <v>99.5443614698191</v>
      </c>
      <c r="F21" s="8" t="n">
        <f aca="false">C21*E21</f>
        <v>81819.4924665031</v>
      </c>
      <c r="G21" s="36"/>
    </row>
    <row r="22" customFormat="false" ht="15" hidden="false" customHeight="false" outlineLevel="0" collapsed="false">
      <c r="A22" s="22" t="s">
        <v>354</v>
      </c>
      <c r="B22" s="6" t="s">
        <v>500</v>
      </c>
      <c r="C22" s="49" t="n">
        <f aca="false">21*38</f>
        <v>798</v>
      </c>
      <c r="D22" s="22" t="s">
        <v>252</v>
      </c>
      <c r="E22" s="50" t="n">
        <f aca="false">假設與單價!$C$14</f>
        <v>62.2297502224139</v>
      </c>
      <c r="F22" s="8" t="n">
        <f aca="false">C22*E22</f>
        <v>49659.3406774863</v>
      </c>
      <c r="G22" s="36"/>
    </row>
    <row r="23" customFormat="false" ht="15" hidden="false" customHeight="false" outlineLevel="0" collapsed="false">
      <c r="A23" s="22" t="s">
        <v>356</v>
      </c>
      <c r="B23" s="6" t="s">
        <v>501</v>
      </c>
      <c r="C23" s="49" t="n">
        <f aca="false">1</f>
        <v>1</v>
      </c>
      <c r="D23" s="6" t="s">
        <v>374</v>
      </c>
      <c r="E23" s="51" t="n">
        <v>28000</v>
      </c>
      <c r="F23" s="8" t="n">
        <f aca="false">C23*E23</f>
        <v>28000</v>
      </c>
      <c r="G23" s="36"/>
    </row>
    <row r="24" customFormat="false" ht="15" hidden="false" customHeight="false" outlineLevel="0" collapsed="false">
      <c r="A24" s="22" t="s">
        <v>359</v>
      </c>
      <c r="B24" s="6" t="s">
        <v>502</v>
      </c>
      <c r="C24" s="49" t="n">
        <f aca="false">300</f>
        <v>300</v>
      </c>
      <c r="D24" s="22" t="s">
        <v>252</v>
      </c>
      <c r="E24" s="50" t="n">
        <f aca="false">假設與單價!$C$16+2*假設與單價!$C$17</f>
        <v>59.5140575715095</v>
      </c>
      <c r="F24" s="8" t="n">
        <f aca="false">C24*E24</f>
        <v>17854.2172714528</v>
      </c>
      <c r="G24" s="36"/>
    </row>
    <row r="25" customFormat="false" ht="15" hidden="false" customHeight="false" outlineLevel="0" collapsed="false">
      <c r="A25" s="11"/>
      <c r="B25" s="12" t="s">
        <v>503</v>
      </c>
      <c r="C25" s="11"/>
      <c r="D25" s="11"/>
      <c r="E25" s="11"/>
      <c r="F25" s="13" t="n">
        <f aca="false">SUM(F20:F24)</f>
        <v>236135.981150714</v>
      </c>
      <c r="G25" s="11"/>
    </row>
    <row r="27" customFormat="false" ht="15" hidden="false" customHeight="false" outlineLevel="0" collapsed="false">
      <c r="A27" s="46" t="n">
        <v>4</v>
      </c>
      <c r="B27" s="47" t="s">
        <v>504</v>
      </c>
      <c r="C27" s="48"/>
      <c r="D27" s="48"/>
      <c r="E27" s="48"/>
      <c r="F27" s="48"/>
      <c r="G27" s="48"/>
    </row>
    <row r="28" customFormat="false" ht="15" hidden="false" customHeight="false" outlineLevel="0" collapsed="false">
      <c r="A28" s="22" t="s">
        <v>378</v>
      </c>
      <c r="B28" s="6" t="s">
        <v>505</v>
      </c>
      <c r="C28" s="49" t="n">
        <f aca="false">1600</f>
        <v>1600</v>
      </c>
      <c r="D28" s="22" t="s">
        <v>252</v>
      </c>
      <c r="E28" s="50" t="n">
        <f aca="false">假設與單價!$C$29+假設與單價!$C$30+假設與單價!$C$31</f>
        <v>77</v>
      </c>
      <c r="F28" s="8" t="n">
        <f aca="false">C28*E28</f>
        <v>123200</v>
      </c>
      <c r="G28" s="34" t="s">
        <v>506</v>
      </c>
    </row>
    <row r="29" customFormat="false" ht="15" hidden="false" customHeight="false" outlineLevel="0" collapsed="false">
      <c r="A29" s="22" t="s">
        <v>381</v>
      </c>
      <c r="B29" s="6" t="s">
        <v>507</v>
      </c>
      <c r="C29" s="49" t="n">
        <f aca="false">1600</f>
        <v>1600</v>
      </c>
      <c r="D29" s="22" t="s">
        <v>252</v>
      </c>
      <c r="E29" s="50" t="n">
        <f aca="false">假設與單價!$C$32+假設與單價!$C$33+假設與單價!$C$34</f>
        <v>63</v>
      </c>
      <c r="F29" s="8" t="n">
        <f aca="false">C29*E29</f>
        <v>100800</v>
      </c>
      <c r="G29" s="36"/>
    </row>
    <row r="30" customFormat="false" ht="15" hidden="false" customHeight="false" outlineLevel="0" collapsed="false">
      <c r="A30" s="11"/>
      <c r="B30" s="12" t="s">
        <v>508</v>
      </c>
      <c r="C30" s="11"/>
      <c r="D30" s="11"/>
      <c r="E30" s="11"/>
      <c r="F30" s="13" t="n">
        <f aca="false">SUM(F28:F29)</f>
        <v>224000</v>
      </c>
      <c r="G30" s="11"/>
    </row>
    <row r="32" customFormat="false" ht="15" hidden="false" customHeight="false" outlineLevel="0" collapsed="false">
      <c r="A32" s="46" t="n">
        <v>5</v>
      </c>
      <c r="B32" s="47" t="s">
        <v>509</v>
      </c>
      <c r="C32" s="48"/>
      <c r="D32" s="48"/>
      <c r="E32" s="48"/>
      <c r="F32" s="48"/>
      <c r="G32" s="48"/>
    </row>
    <row r="33" customFormat="false" ht="15" hidden="false" customHeight="false" outlineLevel="0" collapsed="false">
      <c r="A33" s="22" t="s">
        <v>398</v>
      </c>
      <c r="B33" s="6" t="s">
        <v>510</v>
      </c>
      <c r="C33" s="49" t="n">
        <f aca="false">1</f>
        <v>1</v>
      </c>
      <c r="D33" s="6" t="s">
        <v>374</v>
      </c>
      <c r="E33" s="50" t="n">
        <f aca="false">假設與單價!$C$35</f>
        <v>380000</v>
      </c>
      <c r="F33" s="8" t="n">
        <f aca="false">C33*E33</f>
        <v>380000</v>
      </c>
      <c r="G33" s="34" t="s">
        <v>511</v>
      </c>
    </row>
    <row r="34" customFormat="false" ht="15" hidden="false" customHeight="false" outlineLevel="0" collapsed="false">
      <c r="A34" s="22" t="s">
        <v>402</v>
      </c>
      <c r="B34" s="6" t="s">
        <v>512</v>
      </c>
      <c r="C34" s="49" t="n">
        <f aca="false">1</f>
        <v>1</v>
      </c>
      <c r="D34" s="6" t="s">
        <v>374</v>
      </c>
      <c r="E34" s="50" t="n">
        <f aca="false">假設與單價!$C$36</f>
        <v>165000</v>
      </c>
      <c r="F34" s="8" t="n">
        <f aca="false">C34*E34</f>
        <v>165000</v>
      </c>
      <c r="G34" s="34" t="s">
        <v>513</v>
      </c>
    </row>
    <row r="35" customFormat="false" ht="15" hidden="false" customHeight="false" outlineLevel="0" collapsed="false">
      <c r="A35" s="22" t="s">
        <v>471</v>
      </c>
      <c r="B35" s="6" t="s">
        <v>514</v>
      </c>
      <c r="C35" s="49" t="n">
        <f aca="false">400</f>
        <v>400</v>
      </c>
      <c r="D35" s="22" t="s">
        <v>242</v>
      </c>
      <c r="E35" s="50" t="n">
        <f aca="false">假設與單價!$C$38</f>
        <v>420</v>
      </c>
      <c r="F35" s="8" t="n">
        <f aca="false">C35*E35</f>
        <v>168000</v>
      </c>
      <c r="G35" s="34" t="s">
        <v>515</v>
      </c>
    </row>
    <row r="36" customFormat="false" ht="15" hidden="false" customHeight="false" outlineLevel="0" collapsed="false">
      <c r="A36" s="22" t="s">
        <v>473</v>
      </c>
      <c r="B36" s="6" t="s">
        <v>516</v>
      </c>
      <c r="C36" s="49" t="n">
        <f aca="false">1</f>
        <v>1</v>
      </c>
      <c r="D36" s="6" t="s">
        <v>517</v>
      </c>
      <c r="E36" s="50" t="n">
        <f aca="false">假設與單價!$C$39</f>
        <v>45000</v>
      </c>
      <c r="F36" s="8" t="n">
        <f aca="false">C36*E36</f>
        <v>45000</v>
      </c>
      <c r="G36" s="36"/>
    </row>
    <row r="37" customFormat="false" ht="15" hidden="false" customHeight="false" outlineLevel="0" collapsed="false">
      <c r="A37" s="22" t="s">
        <v>475</v>
      </c>
      <c r="B37" s="6" t="s">
        <v>518</v>
      </c>
      <c r="C37" s="49" t="n">
        <f aca="false">1</f>
        <v>1</v>
      </c>
      <c r="D37" s="6" t="s">
        <v>374</v>
      </c>
      <c r="E37" s="51" t="n">
        <v>210000</v>
      </c>
      <c r="F37" s="8" t="n">
        <f aca="false">C37*E37</f>
        <v>210000</v>
      </c>
      <c r="G37" s="34" t="s">
        <v>519</v>
      </c>
    </row>
    <row r="38" customFormat="false" ht="15" hidden="false" customHeight="false" outlineLevel="0" collapsed="false">
      <c r="A38" s="22" t="s">
        <v>477</v>
      </c>
      <c r="B38" s="6" t="s">
        <v>520</v>
      </c>
      <c r="C38" s="49" t="n">
        <f aca="false">1</f>
        <v>1</v>
      </c>
      <c r="D38" s="6" t="s">
        <v>374</v>
      </c>
      <c r="E38" s="51" t="n">
        <v>120000</v>
      </c>
      <c r="F38" s="8" t="n">
        <f aca="false">C38*E38</f>
        <v>120000</v>
      </c>
      <c r="G38" s="36"/>
    </row>
    <row r="39" customFormat="false" ht="15" hidden="false" customHeight="false" outlineLevel="0" collapsed="false">
      <c r="A39" s="11"/>
      <c r="B39" s="12" t="s">
        <v>521</v>
      </c>
      <c r="C39" s="11"/>
      <c r="D39" s="11"/>
      <c r="E39" s="11"/>
      <c r="F39" s="13" t="n">
        <f aca="false">SUM(F33:F38)</f>
        <v>1088000</v>
      </c>
      <c r="G39" s="11"/>
    </row>
    <row r="41" customFormat="false" ht="17.15" hidden="false" customHeight="false" outlineLevel="0" collapsed="false">
      <c r="A41" s="11"/>
      <c r="B41" s="52" t="s">
        <v>423</v>
      </c>
      <c r="C41" s="11"/>
      <c r="D41" s="11"/>
      <c r="E41" s="11"/>
      <c r="F41" s="53" t="n">
        <f aca="false">F10+F17+F25+F30+F39</f>
        <v>1857432.01175487</v>
      </c>
      <c r="G41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41" t="s">
        <v>522</v>
      </c>
    </row>
    <row r="2" customFormat="false" ht="15" hidden="false" customHeight="false" outlineLevel="0" collapsed="false">
      <c r="A2" s="2" t="s">
        <v>523</v>
      </c>
    </row>
    <row r="4" customFormat="false" ht="30" hidden="false" customHeight="true" outlineLevel="0" collapsed="false">
      <c r="A4" s="3" t="s">
        <v>2</v>
      </c>
      <c r="B4" s="3" t="s">
        <v>282</v>
      </c>
      <c r="C4" s="3" t="s">
        <v>283</v>
      </c>
      <c r="D4" s="3" t="s">
        <v>66</v>
      </c>
      <c r="E4" s="3" t="s">
        <v>284</v>
      </c>
      <c r="F4" s="3" t="s">
        <v>4</v>
      </c>
      <c r="G4" s="3" t="s">
        <v>285</v>
      </c>
    </row>
    <row r="5" customFormat="false" ht="15" hidden="false" customHeight="false" outlineLevel="0" collapsed="false">
      <c r="A5" s="46" t="n">
        <v>1</v>
      </c>
      <c r="B5" s="47" t="s">
        <v>524</v>
      </c>
      <c r="C5" s="48"/>
      <c r="D5" s="48"/>
      <c r="E5" s="48"/>
      <c r="F5" s="48"/>
      <c r="G5" s="48"/>
    </row>
    <row r="6" customFormat="false" ht="15" hidden="false" customHeight="false" outlineLevel="0" collapsed="false">
      <c r="A6" s="22" t="s">
        <v>287</v>
      </c>
      <c r="B6" s="6" t="s">
        <v>525</v>
      </c>
      <c r="C6" s="49" t="n">
        <f aca="false">158*106</f>
        <v>16748</v>
      </c>
      <c r="D6" s="22" t="s">
        <v>252</v>
      </c>
      <c r="E6" s="51" t="n">
        <v>2.8</v>
      </c>
      <c r="F6" s="8" t="n">
        <f aca="false">C6*E6</f>
        <v>46894.4</v>
      </c>
      <c r="G6" s="36" t="s">
        <v>526</v>
      </c>
    </row>
    <row r="7" customFormat="false" ht="15" hidden="false" customHeight="false" outlineLevel="0" collapsed="false">
      <c r="A7" s="22" t="s">
        <v>290</v>
      </c>
      <c r="B7" s="6" t="s">
        <v>527</v>
      </c>
      <c r="C7" s="49" t="n">
        <f aca="false">2*(158+106)</f>
        <v>528</v>
      </c>
      <c r="D7" s="22" t="s">
        <v>259</v>
      </c>
      <c r="E7" s="50" t="n">
        <f aca="false">假設與單價!$C$24</f>
        <v>135</v>
      </c>
      <c r="F7" s="8" t="n">
        <f aca="false">C7*E7</f>
        <v>71280</v>
      </c>
      <c r="G7" s="36" t="s">
        <v>528</v>
      </c>
    </row>
    <row r="8" customFormat="false" ht="15" hidden="false" customHeight="false" outlineLevel="0" collapsed="false">
      <c r="A8" s="22" t="s">
        <v>293</v>
      </c>
      <c r="B8" s="6" t="s">
        <v>529</v>
      </c>
      <c r="C8" s="49" t="n">
        <f aca="false">3</f>
        <v>3</v>
      </c>
      <c r="D8" s="6" t="s">
        <v>388</v>
      </c>
      <c r="E8" s="51" t="n">
        <v>14000</v>
      </c>
      <c r="F8" s="8" t="n">
        <f aca="false">C8*E8</f>
        <v>42000</v>
      </c>
      <c r="G8" s="36" t="s">
        <v>530</v>
      </c>
    </row>
    <row r="9" customFormat="false" ht="15" hidden="false" customHeight="false" outlineLevel="0" collapsed="false">
      <c r="A9" s="11"/>
      <c r="B9" s="12" t="s">
        <v>531</v>
      </c>
      <c r="C9" s="11"/>
      <c r="D9" s="11"/>
      <c r="E9" s="11"/>
      <c r="F9" s="13" t="n">
        <f aca="false">SUM(F6:F8)</f>
        <v>160174.4</v>
      </c>
      <c r="G9" s="11"/>
    </row>
    <row r="11" customFormat="false" ht="15" hidden="false" customHeight="false" outlineLevel="0" collapsed="false">
      <c r="A11" s="46" t="n">
        <v>2</v>
      </c>
      <c r="B11" s="47" t="s">
        <v>532</v>
      </c>
      <c r="C11" s="48"/>
      <c r="D11" s="48"/>
      <c r="E11" s="48"/>
      <c r="F11" s="48"/>
      <c r="G11" s="48"/>
    </row>
    <row r="12" customFormat="false" ht="15" hidden="false" customHeight="false" outlineLevel="0" collapsed="false">
      <c r="A12" s="22" t="s">
        <v>322</v>
      </c>
      <c r="B12" s="6" t="s">
        <v>533</v>
      </c>
      <c r="C12" s="49" t="n">
        <f aca="false">6500</f>
        <v>6500</v>
      </c>
      <c r="D12" s="22" t="s">
        <v>252</v>
      </c>
      <c r="E12" s="50" t="n">
        <f aca="false">假設與單價!$C$23</f>
        <v>48</v>
      </c>
      <c r="F12" s="8" t="n">
        <f aca="false">C12*E12</f>
        <v>312000</v>
      </c>
      <c r="G12" s="36" t="s">
        <v>534</v>
      </c>
    </row>
    <row r="13" customFormat="false" ht="15" hidden="false" customHeight="false" outlineLevel="0" collapsed="false">
      <c r="A13" s="22" t="s">
        <v>325</v>
      </c>
      <c r="B13" s="6" t="s">
        <v>535</v>
      </c>
      <c r="C13" s="49" t="n">
        <f aca="false">32*4.5</f>
        <v>144</v>
      </c>
      <c r="D13" s="22" t="s">
        <v>252</v>
      </c>
      <c r="E13" s="51" t="n">
        <v>65</v>
      </c>
      <c r="F13" s="8" t="n">
        <f aca="false">C13*E13</f>
        <v>9360</v>
      </c>
      <c r="G13" s="34" t="s">
        <v>536</v>
      </c>
    </row>
    <row r="14" customFormat="false" ht="15" hidden="false" customHeight="false" outlineLevel="0" collapsed="false">
      <c r="A14" s="22" t="s">
        <v>328</v>
      </c>
      <c r="B14" s="6" t="s">
        <v>537</v>
      </c>
      <c r="C14" s="49" t="n">
        <f aca="false">1</f>
        <v>1</v>
      </c>
      <c r="D14" s="6" t="s">
        <v>374</v>
      </c>
      <c r="E14" s="51" t="n">
        <v>9000</v>
      </c>
      <c r="F14" s="8" t="n">
        <f aca="false">C14*E14</f>
        <v>9000</v>
      </c>
      <c r="G14" s="34" t="s">
        <v>538</v>
      </c>
    </row>
    <row r="15" customFormat="false" ht="15" hidden="false" customHeight="false" outlineLevel="0" collapsed="false">
      <c r="A15" s="11"/>
      <c r="B15" s="12" t="s">
        <v>539</v>
      </c>
      <c r="C15" s="11"/>
      <c r="D15" s="11"/>
      <c r="E15" s="11"/>
      <c r="F15" s="13" t="n">
        <f aca="false">SUM(F12:F14)</f>
        <v>330360</v>
      </c>
      <c r="G15" s="11"/>
    </row>
    <row r="17" customFormat="false" ht="15" hidden="false" customHeight="false" outlineLevel="0" collapsed="false">
      <c r="A17" s="46" t="n">
        <v>3</v>
      </c>
      <c r="B17" s="47" t="s">
        <v>540</v>
      </c>
      <c r="C17" s="48"/>
      <c r="D17" s="48"/>
      <c r="E17" s="48"/>
      <c r="F17" s="48"/>
      <c r="G17" s="48"/>
    </row>
    <row r="18" customFormat="false" ht="15" hidden="false" customHeight="false" outlineLevel="0" collapsed="false">
      <c r="A18" s="22" t="s">
        <v>348</v>
      </c>
      <c r="B18" s="6" t="s">
        <v>541</v>
      </c>
      <c r="C18" s="49" t="n">
        <f aca="false">12*5.5</f>
        <v>66</v>
      </c>
      <c r="D18" s="22" t="s">
        <v>252</v>
      </c>
      <c r="E18" s="51" t="n">
        <v>620</v>
      </c>
      <c r="F18" s="8" t="n">
        <f aca="false">C18*E18</f>
        <v>40920</v>
      </c>
      <c r="G18" s="36" t="s">
        <v>542</v>
      </c>
    </row>
    <row r="19" customFormat="false" ht="15" hidden="false" customHeight="false" outlineLevel="0" collapsed="false">
      <c r="A19" s="22" t="s">
        <v>351</v>
      </c>
      <c r="B19" s="6" t="s">
        <v>543</v>
      </c>
      <c r="C19" s="49" t="n">
        <f aca="false">1</f>
        <v>1</v>
      </c>
      <c r="D19" s="6" t="s">
        <v>374</v>
      </c>
      <c r="E19" s="50" t="n">
        <f aca="false">假設與單價!$C$37</f>
        <v>62000</v>
      </c>
      <c r="F19" s="8" t="n">
        <f aca="false">C19*E19</f>
        <v>62000</v>
      </c>
      <c r="G19" s="34" t="s">
        <v>544</v>
      </c>
    </row>
    <row r="20" customFormat="false" ht="15" hidden="false" customHeight="false" outlineLevel="0" collapsed="false">
      <c r="A20" s="22" t="s">
        <v>354</v>
      </c>
      <c r="B20" s="22" t="s">
        <v>545</v>
      </c>
      <c r="C20" s="49" t="n">
        <f aca="false">25</f>
        <v>25</v>
      </c>
      <c r="D20" s="22" t="s">
        <v>252</v>
      </c>
      <c r="E20" s="51" t="n">
        <v>520</v>
      </c>
      <c r="F20" s="8" t="n">
        <f aca="false">C20*E20</f>
        <v>13000</v>
      </c>
      <c r="G20" s="36"/>
    </row>
    <row r="21" customFormat="false" ht="15" hidden="false" customHeight="false" outlineLevel="0" collapsed="false">
      <c r="A21" s="11"/>
      <c r="B21" s="12" t="s">
        <v>546</v>
      </c>
      <c r="C21" s="11"/>
      <c r="D21" s="11"/>
      <c r="E21" s="11"/>
      <c r="F21" s="13" t="n">
        <f aca="false">SUM(F18:F20)</f>
        <v>115920</v>
      </c>
      <c r="G21" s="11"/>
    </row>
    <row r="23" customFormat="false" ht="15" hidden="false" customHeight="false" outlineLevel="0" collapsed="false">
      <c r="A23" s="46" t="n">
        <v>4</v>
      </c>
      <c r="B23" s="47" t="s">
        <v>547</v>
      </c>
      <c r="C23" s="48"/>
      <c r="D23" s="48"/>
      <c r="E23" s="48"/>
      <c r="F23" s="48"/>
      <c r="G23" s="48"/>
    </row>
    <row r="24" customFormat="false" ht="15" hidden="false" customHeight="false" outlineLevel="0" collapsed="false">
      <c r="A24" s="22" t="s">
        <v>378</v>
      </c>
      <c r="B24" s="6" t="s">
        <v>548</v>
      </c>
      <c r="C24" s="49" t="n">
        <f aca="false">61</f>
        <v>61</v>
      </c>
      <c r="D24" s="22" t="s">
        <v>259</v>
      </c>
      <c r="E24" s="50" t="n">
        <f aca="false">假設與單價!$C$40</f>
        <v>900</v>
      </c>
      <c r="F24" s="8" t="n">
        <f aca="false">C24*E24</f>
        <v>54900</v>
      </c>
      <c r="G24" s="36" t="s">
        <v>549</v>
      </c>
    </row>
    <row r="25" customFormat="false" ht="15" hidden="false" customHeight="false" outlineLevel="0" collapsed="false">
      <c r="A25" s="22" t="s">
        <v>381</v>
      </c>
      <c r="B25" s="6" t="s">
        <v>550</v>
      </c>
      <c r="C25" s="49" t="n">
        <f aca="false">158*106</f>
        <v>16748</v>
      </c>
      <c r="D25" s="22" t="s">
        <v>252</v>
      </c>
      <c r="E25" s="50" t="n">
        <f aca="false">假設與單價!$C$41</f>
        <v>6.5</v>
      </c>
      <c r="F25" s="8" t="n">
        <f aca="false">C25*E25</f>
        <v>108862</v>
      </c>
      <c r="G25" s="36" t="s">
        <v>551</v>
      </c>
    </row>
    <row r="26" customFormat="false" ht="15" hidden="false" customHeight="false" outlineLevel="0" collapsed="false">
      <c r="A26" s="22" t="s">
        <v>383</v>
      </c>
      <c r="B26" s="6" t="s">
        <v>552</v>
      </c>
      <c r="C26" s="49" t="n">
        <f aca="false">1</f>
        <v>1</v>
      </c>
      <c r="D26" s="6" t="s">
        <v>374</v>
      </c>
      <c r="E26" s="51" t="n">
        <v>90000</v>
      </c>
      <c r="F26" s="8" t="n">
        <f aca="false">C26*E26</f>
        <v>90000</v>
      </c>
      <c r="G26" s="36" t="s">
        <v>553</v>
      </c>
    </row>
    <row r="27" customFormat="false" ht="15" hidden="false" customHeight="false" outlineLevel="0" collapsed="false">
      <c r="A27" s="11"/>
      <c r="B27" s="12" t="s">
        <v>554</v>
      </c>
      <c r="C27" s="11"/>
      <c r="D27" s="11"/>
      <c r="E27" s="11"/>
      <c r="F27" s="13" t="n">
        <f aca="false">SUM(F24:F26)</f>
        <v>253762</v>
      </c>
      <c r="G27" s="11"/>
    </row>
    <row r="29" customFormat="false" ht="17.15" hidden="false" customHeight="false" outlineLevel="0" collapsed="false">
      <c r="A29" s="11"/>
      <c r="B29" s="52" t="s">
        <v>423</v>
      </c>
      <c r="C29" s="11"/>
      <c r="D29" s="11"/>
      <c r="E29" s="11"/>
      <c r="F29" s="53" t="n">
        <f aca="false">F9+F15+F21+F27</f>
        <v>860216.4</v>
      </c>
      <c r="G29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21.6" hidden="false" customHeight="false" outlineLevel="0" collapsed="false">
      <c r="A1" s="41" t="s">
        <v>555</v>
      </c>
    </row>
    <row r="2" customFormat="false" ht="15" hidden="false" customHeight="false" outlineLevel="0" collapsed="false">
      <c r="A2" s="2" t="s">
        <v>556</v>
      </c>
    </row>
    <row r="4" customFormat="false" ht="30" hidden="false" customHeight="true" outlineLevel="0" collapsed="false">
      <c r="A4" s="4" t="s">
        <v>557</v>
      </c>
      <c r="B4" s="3" t="s">
        <v>558</v>
      </c>
      <c r="C4" s="3" t="s">
        <v>559</v>
      </c>
      <c r="D4" s="3" t="s">
        <v>560</v>
      </c>
      <c r="E4" s="3" t="s">
        <v>7</v>
      </c>
    </row>
    <row r="5" customFormat="false" ht="26.85" hidden="false" customHeight="false" outlineLevel="0" collapsed="false">
      <c r="A5" s="54" t="s">
        <v>561</v>
      </c>
      <c r="B5" s="55" t="s">
        <v>562</v>
      </c>
      <c r="C5" s="55" t="s">
        <v>563</v>
      </c>
      <c r="D5" s="54" t="s">
        <v>564</v>
      </c>
      <c r="E5" s="56" t="s">
        <v>565</v>
      </c>
    </row>
    <row r="6" customFormat="false" ht="15" hidden="false" customHeight="false" outlineLevel="0" collapsed="false">
      <c r="A6" s="54" t="s">
        <v>566</v>
      </c>
      <c r="B6" s="55" t="s">
        <v>567</v>
      </c>
      <c r="C6" s="55" t="s">
        <v>568</v>
      </c>
      <c r="D6" s="54" t="s">
        <v>569</v>
      </c>
      <c r="E6" s="57" t="s">
        <v>570</v>
      </c>
    </row>
    <row r="7" customFormat="false" ht="15" hidden="false" customHeight="false" outlineLevel="0" collapsed="false">
      <c r="A7" s="54" t="s">
        <v>571</v>
      </c>
      <c r="B7" s="54" t="s">
        <v>572</v>
      </c>
      <c r="C7" s="54" t="s">
        <v>573</v>
      </c>
      <c r="D7" s="54" t="s">
        <v>574</v>
      </c>
      <c r="E7" s="56" t="s">
        <v>575</v>
      </c>
    </row>
    <row r="8" customFormat="false" ht="15" hidden="false" customHeight="false" outlineLevel="0" collapsed="false">
      <c r="A8" s="54" t="s">
        <v>576</v>
      </c>
      <c r="B8" s="54" t="s">
        <v>577</v>
      </c>
      <c r="C8" s="55" t="s">
        <v>578</v>
      </c>
      <c r="D8" s="54" t="s">
        <v>579</v>
      </c>
      <c r="E8" s="57"/>
    </row>
    <row r="9" customFormat="false" ht="15" hidden="false" customHeight="false" outlineLevel="0" collapsed="false">
      <c r="A9" s="54" t="s">
        <v>580</v>
      </c>
      <c r="B9" s="55" t="s">
        <v>581</v>
      </c>
      <c r="C9" s="54" t="s">
        <v>582</v>
      </c>
      <c r="D9" s="54" t="s">
        <v>583</v>
      </c>
      <c r="E9" s="57" t="s">
        <v>584</v>
      </c>
    </row>
    <row r="10" customFormat="false" ht="29.85" hidden="false" customHeight="false" outlineLevel="0" collapsed="false">
      <c r="A10" s="54" t="s">
        <v>585</v>
      </c>
      <c r="B10" s="55" t="s">
        <v>586</v>
      </c>
      <c r="C10" s="55" t="s">
        <v>587</v>
      </c>
      <c r="D10" s="54" t="s">
        <v>588</v>
      </c>
      <c r="E10" s="57" t="s">
        <v>589</v>
      </c>
    </row>
    <row r="11" customFormat="false" ht="15" hidden="false" customHeight="false" outlineLevel="0" collapsed="false">
      <c r="A11" s="54" t="s">
        <v>590</v>
      </c>
      <c r="B11" s="55" t="s">
        <v>591</v>
      </c>
      <c r="C11" s="54" t="s">
        <v>592</v>
      </c>
      <c r="D11" s="54" t="s">
        <v>593</v>
      </c>
      <c r="E11" s="57"/>
    </row>
    <row r="12" customFormat="false" ht="15" hidden="false" customHeight="false" outlineLevel="0" collapsed="false">
      <c r="A12" s="54" t="s">
        <v>594</v>
      </c>
      <c r="B12" s="55" t="s">
        <v>595</v>
      </c>
      <c r="C12" s="55" t="s">
        <v>596</v>
      </c>
      <c r="D12" s="55" t="s">
        <v>597</v>
      </c>
      <c r="E12" s="57" t="s">
        <v>598</v>
      </c>
    </row>
    <row r="13" customFormat="false" ht="15" hidden="false" customHeight="false" outlineLevel="0" collapsed="false">
      <c r="A13" s="54" t="s">
        <v>599</v>
      </c>
      <c r="B13" s="54" t="s">
        <v>600</v>
      </c>
      <c r="C13" s="54" t="s">
        <v>601</v>
      </c>
      <c r="D13" s="54" t="s">
        <v>602</v>
      </c>
      <c r="E13" s="57" t="s">
        <v>603</v>
      </c>
    </row>
    <row r="14" customFormat="false" ht="15" hidden="false" customHeight="false" outlineLevel="0" collapsed="false">
      <c r="A14" s="54" t="s">
        <v>604</v>
      </c>
      <c r="B14" s="55" t="s">
        <v>605</v>
      </c>
      <c r="C14" s="54" t="s">
        <v>606</v>
      </c>
      <c r="D14" s="54" t="s">
        <v>607</v>
      </c>
      <c r="E14" s="57" t="s">
        <v>608</v>
      </c>
    </row>
    <row r="15" customFormat="false" ht="26.85" hidden="false" customHeight="false" outlineLevel="0" collapsed="false">
      <c r="A15" s="54" t="s">
        <v>604</v>
      </c>
      <c r="B15" s="55" t="s">
        <v>609</v>
      </c>
      <c r="C15" s="54" t="s">
        <v>610</v>
      </c>
      <c r="D15" s="54" t="s">
        <v>611</v>
      </c>
      <c r="E15" s="56" t="s">
        <v>612</v>
      </c>
    </row>
    <row r="16" customFormat="false" ht="15" hidden="false" customHeight="false" outlineLevel="0" collapsed="false">
      <c r="A16" s="54" t="s">
        <v>604</v>
      </c>
      <c r="B16" s="55" t="s">
        <v>613</v>
      </c>
      <c r="C16" s="55" t="s">
        <v>614</v>
      </c>
      <c r="D16" s="54" t="s">
        <v>615</v>
      </c>
      <c r="E16" s="57" t="s">
        <v>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41" t="s">
        <v>617</v>
      </c>
    </row>
    <row r="3" customFormat="false" ht="15" hidden="false" customHeight="false" outlineLevel="0" collapsed="false">
      <c r="A3" s="22" t="s">
        <v>618</v>
      </c>
      <c r="B3" s="58" t="s">
        <v>619</v>
      </c>
    </row>
    <row r="4" customFormat="false" ht="15" hidden="false" customHeight="false" outlineLevel="0" collapsed="false">
      <c r="A4" s="22" t="s">
        <v>620</v>
      </c>
      <c r="B4" s="58" t="s">
        <v>621</v>
      </c>
    </row>
    <row r="5" customFormat="false" ht="15" hidden="false" customHeight="false" outlineLevel="0" collapsed="false">
      <c r="A5" s="22" t="s">
        <v>622</v>
      </c>
      <c r="B5" s="58" t="s">
        <v>623</v>
      </c>
    </row>
    <row r="6" customFormat="false" ht="15" hidden="false" customHeight="false" outlineLevel="0" collapsed="false">
      <c r="A6" s="22" t="s">
        <v>624</v>
      </c>
      <c r="B6" s="58" t="s">
        <v>625</v>
      </c>
    </row>
    <row r="7" customFormat="false" ht="15" hidden="false" customHeight="false" outlineLevel="0" collapsed="false">
      <c r="A7" s="22" t="s">
        <v>626</v>
      </c>
      <c r="B7" s="58" t="s">
        <v>627</v>
      </c>
    </row>
    <row r="8" customFormat="false" ht="15" hidden="false" customHeight="false" outlineLevel="0" collapsed="false">
      <c r="A8" s="22" t="s">
        <v>628</v>
      </c>
      <c r="B8" s="58" t="s">
        <v>629</v>
      </c>
    </row>
    <row r="9" customFormat="false" ht="15" hidden="false" customHeight="false" outlineLevel="0" collapsed="false">
      <c r="A9" s="22" t="s">
        <v>630</v>
      </c>
      <c r="B9" s="58" t="s">
        <v>631</v>
      </c>
    </row>
    <row r="10" customFormat="false" ht="15" hidden="false" customHeight="false" outlineLevel="0" collapsed="false">
      <c r="A10" s="22" t="s">
        <v>632</v>
      </c>
      <c r="B10" s="58" t="s">
        <v>633</v>
      </c>
    </row>
    <row r="11" customFormat="false" ht="15" hidden="false" customHeight="false" outlineLevel="0" collapsed="false">
      <c r="A11" s="22" t="s">
        <v>634</v>
      </c>
      <c r="B11" s="58" t="s">
        <v>635</v>
      </c>
    </row>
    <row r="12" customFormat="false" ht="15" hidden="false" customHeight="false" outlineLevel="0" collapsed="false">
      <c r="A12" s="22" t="s">
        <v>636</v>
      </c>
      <c r="B12" s="58" t="s">
        <v>637</v>
      </c>
    </row>
    <row r="13" customFormat="false" ht="15" hidden="false" customHeight="false" outlineLevel="0" collapsed="false">
      <c r="A13" s="22" t="s">
        <v>638</v>
      </c>
      <c r="B13" s="58" t="s">
        <v>639</v>
      </c>
    </row>
    <row r="14" customFormat="false" ht="15" hidden="false" customHeight="false" outlineLevel="0" collapsed="false">
      <c r="A14" s="22" t="s">
        <v>640</v>
      </c>
      <c r="B14" s="58" t="s">
        <v>641</v>
      </c>
    </row>
    <row r="15" customFormat="false" ht="15" hidden="false" customHeight="false" outlineLevel="0" collapsed="false">
      <c r="A15" s="22" t="s">
        <v>642</v>
      </c>
      <c r="B15" s="58" t="s">
        <v>643</v>
      </c>
    </row>
    <row r="16" customFormat="false" ht="15" hidden="false" customHeight="false" outlineLevel="0" collapsed="false">
      <c r="A16" s="22" t="s">
        <v>644</v>
      </c>
      <c r="B16" s="58" t="s">
        <v>645</v>
      </c>
    </row>
    <row r="17" customFormat="false" ht="15" hidden="false" customHeight="false" outlineLevel="0" collapsed="false">
      <c r="A17" s="22" t="s">
        <v>646</v>
      </c>
      <c r="B17" s="58" t="s">
        <v>647</v>
      </c>
    </row>
    <row r="18" customFormat="false" ht="15" hidden="false" customHeight="false" outlineLevel="0" collapsed="false">
      <c r="A18" s="22" t="s">
        <v>648</v>
      </c>
      <c r="B18" s="59" t="s">
        <v>649</v>
      </c>
    </row>
  </sheetData>
  <hyperlinks>
    <hyperlink ref="B3" r:id="rId1" display="https://www.bcp.gov.py/webapps/web/cotizacion/referencial-fluctuante-interbancario"/>
    <hyperlink ref="B4" r:id="rId2" display="https://www.costeo.com.py/precios/materiales/"/>
    <hyperlink ref="B5" r:id="rId3" display="https://paraguay.generadordeprecios.info/rehabilitacion/Estructuras/Acero/Montajes_industrializados/EAM010_Estructura_metalica_realizada_con_p.html"/>
    <hyperlink ref="B6" r:id="rId4" display="https://paraguay.generadordeprecios.info/rehabilitacion/Estructuras/Hormigon_armado/Pilares/EHS010_Pilar_rectangular_o_cuadrado_de_hor.html"/>
    <hyperlink ref="B7" r:id="rId5" display="https://paraguay.generadordeprecios.info/rehabilitacion/Estructuras/Hormigon_armado/Losas_macizas/Losa_maciza.html"/>
    <hyperlink ref="B8" r:id="rId6" display="https://paraguay.generadordeprecios.info/rehabilitacion/Fundaciones/Superficiales/Zapatas/Zapata_de_fundacion_de_hormigon_armado.html"/>
    <hyperlink ref="B9" r:id="rId7" display="https://paraguay.generadordeprecios.info/obra_nueva/Cubiertas/QU_Componentes_de_cubiertas_incli/QUM_De_chapas_de_acero_y_paneles_s/QUM020_Cobertura_de_paneles_sandwich_aisla.html"/>
    <hyperlink ref="B10" r:id="rId8" display="https://paraguay.generadordeprecios.info/rehabilitacion/Fachadas_y_particiones/FF_Mamposteria_no_estructural_de_/Hoja_para_revestir_en_particion/FFQ010_Hoja_de_particion_interior__de_mamp.html"/>
    <hyperlink ref="B11" r:id="rId9" display="https://paraguay.generadordeprecios.info/rehabilitacion/Revestimientos_y_trasdosados/Pisos/RSI_Sistemas_de_pisos_industriales/RSI007_Piso_industrial_de_hormigon_tratado.html"/>
    <hyperlink ref="B12" r:id="rId10" display="https://paraguay.generadordeprecios.info/rehabilitacion/Urbanizacion_interior_de_la_parcela/Muros_de_contencion/Muros_de_contencion/Muro_de_contencion_de_hormigon_armado.html"/>
    <hyperlink ref="B13" r:id="rId11" display="https://mega-construcciones.com/precio-de-losa-por-m2-en-paraguay/"/>
    <hyperlink ref="B14" r:id="rId12" display="https://www.abc.com.py/economia/2026/07/08/reajuste-salarial-guia-completa-de-los-nuevos-montos-por-cada-sector-laboral/"/>
    <hyperlink ref="B15" r:id="rId13" display="https://www.ultimahora.com/materiales-de-construccion-suben-por-mayor-demanda"/>
    <hyperlink ref="B16" r:id="rId14" display="https://www.movetoparaguay.com/es/blog/build-your-dream-house-in-paraguay"/>
    <hyperlink ref="B17" r:id="rId15" display="https://www.abc.com.py/negocios/2026/07/02/alto-parana-construye-mas-rapido-de-lo-que-la-banca-puede-financia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2026-09-16T13:51:10Z</dcterms:created>
  <dc:creator>openpyxl</dc:creator>
  <dc:description/>
  <dc:language>en-US</dc:language>
  <cp:lastModifiedBy/>
  <dcterms:modified xsi:type="dcterms:W3CDTF">2026-09-16T13:51:10Z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